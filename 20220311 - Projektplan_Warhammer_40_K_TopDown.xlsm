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esktop\Create with Code\Warhammer-40K-Topdown-core\"/>
    </mc:Choice>
  </mc:AlternateContent>
  <xr:revisionPtr revIDLastSave="0" documentId="13_ncr:1_{0AD42E30-6FA7-41F3-B5ED-40EA879E890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jektplan" sheetId="1" r:id="rId1"/>
    <sheet name="Steuertabelle" sheetId="3" r:id="rId2"/>
    <sheet name="Wochenplan 2021" sheetId="2" r:id="rId3"/>
    <sheet name="Wochenplan 2022" sheetId="4" r:id="rId4"/>
  </sheets>
  <functionGroups builtInGroupCount="19"/>
  <definedNames>
    <definedName name="_xlnm.Print_Titles" localSheetId="0">Projektplan!$C:$C,Projektplan!$5:$7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76" i="4" l="1"/>
  <c r="J351" i="4"/>
  <c r="J326" i="4"/>
  <c r="J301" i="4"/>
  <c r="J276" i="4"/>
  <c r="J251" i="4"/>
  <c r="J226" i="4"/>
  <c r="J201" i="4"/>
  <c r="J176" i="4"/>
  <c r="J151" i="4"/>
  <c r="J126" i="4"/>
  <c r="J101" i="4"/>
  <c r="J76" i="4"/>
  <c r="J51" i="4"/>
  <c r="J26" i="4"/>
  <c r="C6" i="4"/>
  <c r="C10" i="4" s="1"/>
  <c r="C14" i="4" s="1"/>
  <c r="C18" i="4" s="1"/>
  <c r="C22" i="4" s="1"/>
  <c r="C27" i="4" s="1"/>
  <c r="A2" i="4"/>
  <c r="J376" i="2"/>
  <c r="J351" i="2"/>
  <c r="J326" i="2"/>
  <c r="J301" i="2"/>
  <c r="J276" i="2"/>
  <c r="J251" i="2"/>
  <c r="J226" i="2"/>
  <c r="J201" i="2"/>
  <c r="J176" i="2"/>
  <c r="J151" i="2"/>
  <c r="J126" i="2"/>
  <c r="J101" i="2"/>
  <c r="C31" i="4" l="1"/>
  <c r="C35" i="4" s="1"/>
  <c r="C39" i="4" s="1"/>
  <c r="C43" i="4" s="1"/>
  <c r="C47" i="4" s="1"/>
  <c r="C52" i="4" s="1"/>
  <c r="A27" i="4"/>
  <c r="A2" i="2"/>
  <c r="C56" i="4" l="1"/>
  <c r="C60" i="4" s="1"/>
  <c r="C64" i="4" s="1"/>
  <c r="C68" i="4" s="1"/>
  <c r="C72" i="4" s="1"/>
  <c r="C77" i="4" s="1"/>
  <c r="A52" i="4"/>
  <c r="J26" i="2"/>
  <c r="J76" i="2"/>
  <c r="J51" i="2"/>
  <c r="C81" i="4" l="1"/>
  <c r="C85" i="4" s="1"/>
  <c r="C89" i="4" s="1"/>
  <c r="C93" i="4" s="1"/>
  <c r="C97" i="4" s="1"/>
  <c r="C102" i="4" s="1"/>
  <c r="A77" i="4"/>
  <c r="N7" i="1"/>
  <c r="C106" i="4" l="1"/>
  <c r="C110" i="4" s="1"/>
  <c r="C114" i="4" s="1"/>
  <c r="C118" i="4" s="1"/>
  <c r="C122" i="4" s="1"/>
  <c r="C127" i="4" s="1"/>
  <c r="A102" i="4"/>
  <c r="N6" i="1"/>
  <c r="N5" i="1"/>
  <c r="O7" i="1"/>
  <c r="P7" i="1" s="1"/>
  <c r="Q7" i="1" s="1"/>
  <c r="R7" i="1" s="1"/>
  <c r="S7" i="1" s="1"/>
  <c r="T7" i="1" s="1"/>
  <c r="U7" i="1" s="1"/>
  <c r="C131" i="4" l="1"/>
  <c r="C135" i="4" s="1"/>
  <c r="C139" i="4" s="1"/>
  <c r="C143" i="4" s="1"/>
  <c r="C147" i="4" s="1"/>
  <c r="C152" i="4" s="1"/>
  <c r="A127" i="4"/>
  <c r="U5" i="1"/>
  <c r="U6" i="1"/>
  <c r="V7" i="1"/>
  <c r="W7" i="1" s="1"/>
  <c r="X7" i="1" s="1"/>
  <c r="Y7" i="1" s="1"/>
  <c r="Z7" i="1" s="1"/>
  <c r="AA7" i="1" s="1"/>
  <c r="AB7" i="1" s="1"/>
  <c r="AC7" i="1" l="1"/>
  <c r="AD7" i="1" s="1"/>
  <c r="AE7" i="1" s="1"/>
  <c r="AF7" i="1" s="1"/>
  <c r="AG7" i="1" s="1"/>
  <c r="AH7" i="1" s="1"/>
  <c r="AI7" i="1" s="1"/>
  <c r="AB6" i="1"/>
  <c r="AB5" i="1"/>
  <c r="C156" i="4"/>
  <c r="C160" i="4" s="1"/>
  <c r="C164" i="4" s="1"/>
  <c r="C168" i="4" s="1"/>
  <c r="C172" i="4" s="1"/>
  <c r="C177" i="4" s="1"/>
  <c r="A152" i="4"/>
  <c r="C6" i="2"/>
  <c r="C10" i="2" s="1"/>
  <c r="C14" i="2" s="1"/>
  <c r="C18" i="2" s="1"/>
  <c r="C22" i="2" s="1"/>
  <c r="C27" i="2" s="1"/>
  <c r="AJ7" i="1" l="1"/>
  <c r="AK7" i="1" s="1"/>
  <c r="AL7" i="1" s="1"/>
  <c r="AM7" i="1" s="1"/>
  <c r="AN7" i="1" s="1"/>
  <c r="AO7" i="1" s="1"/>
  <c r="AP7" i="1" s="1"/>
  <c r="AI6" i="1"/>
  <c r="AI5" i="1"/>
  <c r="C181" i="4"/>
  <c r="C185" i="4" s="1"/>
  <c r="C189" i="4" s="1"/>
  <c r="C193" i="4" s="1"/>
  <c r="C197" i="4" s="1"/>
  <c r="C202" i="4" s="1"/>
  <c r="A177" i="4"/>
  <c r="A27" i="2"/>
  <c r="C31" i="2"/>
  <c r="C35" i="2" s="1"/>
  <c r="C39" i="2" s="1"/>
  <c r="C43" i="2" s="1"/>
  <c r="C47" i="2" s="1"/>
  <c r="AQ7" i="1" l="1"/>
  <c r="AR7" i="1" s="1"/>
  <c r="AS7" i="1" s="1"/>
  <c r="AT7" i="1" s="1"/>
  <c r="AU7" i="1" s="1"/>
  <c r="AV7" i="1" s="1"/>
  <c r="AW7" i="1" s="1"/>
  <c r="AP6" i="1"/>
  <c r="AP5" i="1"/>
  <c r="C206" i="4"/>
  <c r="C210" i="4" s="1"/>
  <c r="C214" i="4" s="1"/>
  <c r="C218" i="4" s="1"/>
  <c r="C222" i="4" s="1"/>
  <c r="C227" i="4" s="1"/>
  <c r="A202" i="4"/>
  <c r="C52" i="2"/>
  <c r="C56" i="2" s="1"/>
  <c r="C60" i="2" s="1"/>
  <c r="C64" i="2" s="1"/>
  <c r="C68" i="2" s="1"/>
  <c r="C72" i="2" s="1"/>
  <c r="C77" i="2" s="1"/>
  <c r="AX7" i="1" l="1"/>
  <c r="AY7" i="1" s="1"/>
  <c r="AZ7" i="1" s="1"/>
  <c r="BA7" i="1" s="1"/>
  <c r="BB7" i="1" s="1"/>
  <c r="BC7" i="1" s="1"/>
  <c r="BD7" i="1" s="1"/>
  <c r="AW6" i="1"/>
  <c r="AW5" i="1"/>
  <c r="C231" i="4"/>
  <c r="C235" i="4" s="1"/>
  <c r="C239" i="4" s="1"/>
  <c r="C243" i="4" s="1"/>
  <c r="C247" i="4" s="1"/>
  <c r="C252" i="4" s="1"/>
  <c r="A227" i="4"/>
  <c r="A77" i="2"/>
  <c r="C81" i="2"/>
  <c r="C85" i="2" s="1"/>
  <c r="C89" i="2" s="1"/>
  <c r="C93" i="2" s="1"/>
  <c r="C97" i="2" s="1"/>
  <c r="C102" i="2" s="1"/>
  <c r="A52" i="2"/>
  <c r="BE7" i="1" l="1"/>
  <c r="BF7" i="1" s="1"/>
  <c r="BG7" i="1" s="1"/>
  <c r="BH7" i="1" s="1"/>
  <c r="BI7" i="1" s="1"/>
  <c r="BJ7" i="1" s="1"/>
  <c r="BK7" i="1" s="1"/>
  <c r="BD6" i="1"/>
  <c r="BD5" i="1"/>
  <c r="C256" i="4"/>
  <c r="C260" i="4" s="1"/>
  <c r="C264" i="4" s="1"/>
  <c r="C268" i="4" s="1"/>
  <c r="C272" i="4" s="1"/>
  <c r="C277" i="4" s="1"/>
  <c r="A252" i="4"/>
  <c r="A102" i="2"/>
  <c r="C106" i="2"/>
  <c r="C110" i="2" s="1"/>
  <c r="C114" i="2" s="1"/>
  <c r="C118" i="2" s="1"/>
  <c r="C122" i="2" s="1"/>
  <c r="C127" i="2" s="1"/>
  <c r="BL7" i="1" l="1"/>
  <c r="BM7" i="1" s="1"/>
  <c r="BN7" i="1" s="1"/>
  <c r="BO7" i="1" s="1"/>
  <c r="BP7" i="1" s="1"/>
  <c r="BQ7" i="1" s="1"/>
  <c r="BR7" i="1" s="1"/>
  <c r="BK5" i="1"/>
  <c r="BK6" i="1"/>
  <c r="C281" i="4"/>
  <c r="C285" i="4" s="1"/>
  <c r="C289" i="4" s="1"/>
  <c r="C293" i="4" s="1"/>
  <c r="C297" i="4" s="1"/>
  <c r="C302" i="4" s="1"/>
  <c r="A277" i="4"/>
  <c r="A127" i="2"/>
  <c r="C131" i="2"/>
  <c r="C135" i="2" s="1"/>
  <c r="C139" i="2" s="1"/>
  <c r="C143" i="2" s="1"/>
  <c r="C147" i="2" s="1"/>
  <c r="C152" i="2" s="1"/>
  <c r="BR6" i="1" l="1"/>
  <c r="BS7" i="1"/>
  <c r="BT7" i="1" s="1"/>
  <c r="BU7" i="1" s="1"/>
  <c r="BV7" i="1" s="1"/>
  <c r="BW7" i="1" s="1"/>
  <c r="BX7" i="1" s="1"/>
  <c r="BY7" i="1" s="1"/>
  <c r="BR5" i="1"/>
  <c r="C306" i="4"/>
  <c r="C310" i="4" s="1"/>
  <c r="C314" i="4" s="1"/>
  <c r="C318" i="4" s="1"/>
  <c r="C322" i="4" s="1"/>
  <c r="C327" i="4" s="1"/>
  <c r="A302" i="4"/>
  <c r="C156" i="2"/>
  <c r="C160" i="2" s="1"/>
  <c r="C164" i="2" s="1"/>
  <c r="C168" i="2" s="1"/>
  <c r="C172" i="2" s="1"/>
  <c r="C177" i="2" s="1"/>
  <c r="A152" i="2"/>
  <c r="BZ7" i="1" l="1"/>
  <c r="CA7" i="1" s="1"/>
  <c r="CB7" i="1" s="1"/>
  <c r="CC7" i="1" s="1"/>
  <c r="CD7" i="1" s="1"/>
  <c r="CE7" i="1" s="1"/>
  <c r="CF7" i="1" s="1"/>
  <c r="BY6" i="1"/>
  <c r="BY5" i="1"/>
  <c r="C331" i="4"/>
  <c r="C335" i="4" s="1"/>
  <c r="C339" i="4" s="1"/>
  <c r="C343" i="4" s="1"/>
  <c r="C347" i="4" s="1"/>
  <c r="C352" i="4" s="1"/>
  <c r="A327" i="4"/>
  <c r="A177" i="2"/>
  <c r="C181" i="2"/>
  <c r="C185" i="2" s="1"/>
  <c r="C189" i="2" s="1"/>
  <c r="C193" i="2" s="1"/>
  <c r="C197" i="2" s="1"/>
  <c r="C202" i="2" s="1"/>
  <c r="CG7" i="1" l="1"/>
  <c r="CH7" i="1" s="1"/>
  <c r="CI7" i="1" s="1"/>
  <c r="CJ7" i="1" s="1"/>
  <c r="CK7" i="1" s="1"/>
  <c r="CL7" i="1" s="1"/>
  <c r="CM7" i="1" s="1"/>
  <c r="CF5" i="1"/>
  <c r="CF6" i="1"/>
  <c r="C356" i="4"/>
  <c r="C360" i="4" s="1"/>
  <c r="C364" i="4" s="1"/>
  <c r="C368" i="4" s="1"/>
  <c r="C372" i="4" s="1"/>
  <c r="A352" i="4"/>
  <c r="A202" i="2"/>
  <c r="C206" i="2"/>
  <c r="C210" i="2" s="1"/>
  <c r="C214" i="2" s="1"/>
  <c r="C218" i="2" s="1"/>
  <c r="C222" i="2" s="1"/>
  <c r="C227" i="2" s="1"/>
  <c r="CN7" i="1" l="1"/>
  <c r="CO7" i="1" s="1"/>
  <c r="CP7" i="1" s="1"/>
  <c r="CQ7" i="1" s="1"/>
  <c r="CR7" i="1" s="1"/>
  <c r="CS7" i="1" s="1"/>
  <c r="CT7" i="1" s="1"/>
  <c r="CM6" i="1"/>
  <c r="CM5" i="1"/>
  <c r="C231" i="2"/>
  <c r="C235" i="2" s="1"/>
  <c r="C239" i="2" s="1"/>
  <c r="C243" i="2" s="1"/>
  <c r="C247" i="2" s="1"/>
  <c r="C252" i="2" s="1"/>
  <c r="A227" i="2"/>
  <c r="CU7" i="1" l="1"/>
  <c r="CV7" i="1" s="1"/>
  <c r="CW7" i="1" s="1"/>
  <c r="CX7" i="1" s="1"/>
  <c r="CY7" i="1" s="1"/>
  <c r="CZ7" i="1" s="1"/>
  <c r="DA7" i="1" s="1"/>
  <c r="CT6" i="1"/>
  <c r="CT5" i="1"/>
  <c r="C256" i="2"/>
  <c r="C260" i="2" s="1"/>
  <c r="C264" i="2" s="1"/>
  <c r="C268" i="2" s="1"/>
  <c r="C272" i="2" s="1"/>
  <c r="C277" i="2" s="1"/>
  <c r="A252" i="2"/>
  <c r="DB7" i="1" l="1"/>
  <c r="DC7" i="1" s="1"/>
  <c r="DD7" i="1" s="1"/>
  <c r="DE7" i="1" s="1"/>
  <c r="DF7" i="1" s="1"/>
  <c r="DG7" i="1" s="1"/>
  <c r="DH7" i="1" s="1"/>
  <c r="DA6" i="1"/>
  <c r="DA5" i="1"/>
  <c r="A277" i="2"/>
  <c r="C281" i="2"/>
  <c r="C285" i="2" s="1"/>
  <c r="C289" i="2" s="1"/>
  <c r="C293" i="2" s="1"/>
  <c r="C297" i="2" s="1"/>
  <c r="C302" i="2" s="1"/>
  <c r="DH6" i="1" l="1"/>
  <c r="DH5" i="1"/>
  <c r="DI7" i="1"/>
  <c r="DJ7" i="1" s="1"/>
  <c r="DK7" i="1" s="1"/>
  <c r="DL7" i="1" s="1"/>
  <c r="DM7" i="1" s="1"/>
  <c r="DN7" i="1" s="1"/>
  <c r="DO7" i="1" s="1"/>
  <c r="A302" i="2"/>
  <c r="C306" i="2"/>
  <c r="C310" i="2" s="1"/>
  <c r="C314" i="2" s="1"/>
  <c r="C318" i="2" s="1"/>
  <c r="C322" i="2" s="1"/>
  <c r="C327" i="2" s="1"/>
  <c r="DO6" i="1" l="1"/>
  <c r="DO5" i="1"/>
  <c r="DP7" i="1"/>
  <c r="DQ7" i="1" s="1"/>
  <c r="DR7" i="1" s="1"/>
  <c r="DS7" i="1" s="1"/>
  <c r="DT7" i="1" s="1"/>
  <c r="DU7" i="1" s="1"/>
  <c r="DV7" i="1" s="1"/>
  <c r="A327" i="2"/>
  <c r="C331" i="2"/>
  <c r="C335" i="2" s="1"/>
  <c r="C339" i="2" s="1"/>
  <c r="C343" i="2" s="1"/>
  <c r="C347" i="2" s="1"/>
  <c r="C352" i="2" s="1"/>
  <c r="DV6" i="1" l="1"/>
  <c r="DV5" i="1"/>
  <c r="DW7" i="1"/>
  <c r="DX7" i="1" s="1"/>
  <c r="DY7" i="1" s="1"/>
  <c r="DZ7" i="1" s="1"/>
  <c r="EA7" i="1" s="1"/>
  <c r="EB7" i="1" s="1"/>
  <c r="EC7" i="1" s="1"/>
  <c r="A352" i="2"/>
  <c r="C356" i="2"/>
  <c r="C360" i="2" s="1"/>
  <c r="C364" i="2" s="1"/>
  <c r="C368" i="2" s="1"/>
  <c r="C372" i="2" s="1"/>
  <c r="ED7" i="1" l="1"/>
  <c r="EE7" i="1" s="1"/>
  <c r="EF7" i="1" s="1"/>
  <c r="EG7" i="1" s="1"/>
  <c r="EH7" i="1" s="1"/>
  <c r="EI7" i="1" s="1"/>
  <c r="EJ7" i="1" s="1"/>
  <c r="EC6" i="1"/>
  <c r="EC5" i="1"/>
  <c r="EK7" i="1" l="1"/>
  <c r="EL7" i="1" s="1"/>
  <c r="EM7" i="1" s="1"/>
  <c r="EN7" i="1" s="1"/>
  <c r="EO7" i="1" s="1"/>
  <c r="EP7" i="1" s="1"/>
  <c r="EQ7" i="1" s="1"/>
  <c r="EJ6" i="1"/>
  <c r="EJ5" i="1"/>
  <c r="ER7" i="1" l="1"/>
  <c r="ES7" i="1" s="1"/>
  <c r="ET7" i="1" s="1"/>
  <c r="EU7" i="1" s="1"/>
  <c r="EV7" i="1" s="1"/>
  <c r="EW7" i="1" s="1"/>
  <c r="EX7" i="1" s="1"/>
  <c r="EQ6" i="1"/>
  <c r="EQ5" i="1"/>
  <c r="EY7" i="1" l="1"/>
  <c r="EZ7" i="1" s="1"/>
  <c r="FA7" i="1" s="1"/>
  <c r="FB7" i="1" s="1"/>
  <c r="FC7" i="1" s="1"/>
  <c r="FD7" i="1" s="1"/>
  <c r="FE7" i="1" s="1"/>
  <c r="EX6" i="1"/>
  <c r="EX5" i="1"/>
  <c r="FF7" i="1" l="1"/>
  <c r="FG7" i="1" s="1"/>
  <c r="FH7" i="1" s="1"/>
  <c r="FI7" i="1" s="1"/>
  <c r="FJ7" i="1" s="1"/>
  <c r="FK7" i="1" s="1"/>
  <c r="FL7" i="1" s="1"/>
  <c r="FE6" i="1"/>
  <c r="FE5" i="1"/>
  <c r="FL6" i="1" l="1"/>
  <c r="FL5" i="1"/>
  <c r="FM7" i="1"/>
  <c r="FN7" i="1" s="1"/>
  <c r="FO7" i="1" s="1"/>
  <c r="FP7" i="1" s="1"/>
  <c r="FQ7" i="1" s="1"/>
  <c r="FR7" i="1" s="1"/>
  <c r="FS7" i="1" s="1"/>
  <c r="FT7" i="1" l="1"/>
  <c r="FU7" i="1" s="1"/>
  <c r="FV7" i="1" s="1"/>
  <c r="FW7" i="1" s="1"/>
  <c r="FX7" i="1" s="1"/>
  <c r="FY7" i="1" s="1"/>
  <c r="FZ7" i="1" s="1"/>
  <c r="FS6" i="1"/>
  <c r="FS5" i="1"/>
  <c r="GA7" i="1" l="1"/>
  <c r="GB7" i="1" s="1"/>
  <c r="GC7" i="1" s="1"/>
  <c r="GD7" i="1" s="1"/>
  <c r="GE7" i="1" s="1"/>
  <c r="GF7" i="1" s="1"/>
  <c r="GG7" i="1" s="1"/>
  <c r="FZ6" i="1"/>
  <c r="FZ5" i="1"/>
  <c r="GH7" i="1" l="1"/>
  <c r="GI7" i="1" s="1"/>
  <c r="GJ7" i="1" s="1"/>
  <c r="GK7" i="1" s="1"/>
  <c r="GL7" i="1" s="1"/>
  <c r="GM7" i="1" s="1"/>
  <c r="GN7" i="1" s="1"/>
  <c r="GG6" i="1"/>
  <c r="GG5" i="1"/>
  <c r="GO7" i="1" l="1"/>
  <c r="GP7" i="1" s="1"/>
  <c r="GQ7" i="1" s="1"/>
  <c r="GR7" i="1" s="1"/>
  <c r="GS7" i="1" s="1"/>
  <c r="GT7" i="1" s="1"/>
  <c r="GU7" i="1" s="1"/>
  <c r="GN6" i="1"/>
  <c r="GN5" i="1"/>
  <c r="GU6" i="1" l="1"/>
  <c r="GU5" i="1"/>
  <c r="GV7" i="1"/>
  <c r="GW7" i="1" s="1"/>
  <c r="GX7" i="1" s="1"/>
  <c r="GY7" i="1" s="1"/>
  <c r="GZ7" i="1" s="1"/>
  <c r="HA7" i="1" s="1"/>
  <c r="HB7" i="1" s="1"/>
  <c r="HC7" i="1" l="1"/>
  <c r="HD7" i="1" s="1"/>
  <c r="HE7" i="1" s="1"/>
  <c r="HF7" i="1" s="1"/>
  <c r="HG7" i="1" s="1"/>
  <c r="HH7" i="1" s="1"/>
  <c r="HI7" i="1" s="1"/>
  <c r="HB6" i="1"/>
  <c r="HB5" i="1"/>
  <c r="HI6" i="1" l="1"/>
  <c r="HI5" i="1"/>
  <c r="HJ7" i="1"/>
  <c r="HK7" i="1" s="1"/>
  <c r="HL7" i="1" s="1"/>
  <c r="HM7" i="1" s="1"/>
  <c r="HN7" i="1" s="1"/>
  <c r="HO7" i="1" s="1"/>
  <c r="HP7" i="1" s="1"/>
  <c r="HP6" i="1" l="1"/>
  <c r="HP5" i="1"/>
  <c r="HQ7" i="1"/>
  <c r="HR7" i="1" s="1"/>
  <c r="HS7" i="1" s="1"/>
  <c r="HT7" i="1" s="1"/>
  <c r="HU7" i="1" s="1"/>
  <c r="HV7" i="1" s="1"/>
  <c r="HW7" i="1" s="1"/>
  <c r="HW6" i="1" l="1"/>
  <c r="HX7" i="1"/>
  <c r="HY7" i="1" s="1"/>
  <c r="HZ7" i="1" s="1"/>
  <c r="IA7" i="1" s="1"/>
  <c r="IB7" i="1" s="1"/>
  <c r="IC7" i="1" s="1"/>
  <c r="ID7" i="1" s="1"/>
  <c r="HW5" i="1"/>
  <c r="IE7" i="1" l="1"/>
  <c r="IF7" i="1" s="1"/>
  <c r="IG7" i="1" s="1"/>
  <c r="IH7" i="1" s="1"/>
  <c r="II7" i="1" s="1"/>
  <c r="IJ7" i="1" s="1"/>
  <c r="IK7" i="1" s="1"/>
  <c r="ID5" i="1"/>
  <c r="ID6" i="1"/>
  <c r="IL7" i="1" l="1"/>
  <c r="IM7" i="1" s="1"/>
  <c r="IN7" i="1" s="1"/>
  <c r="IO7" i="1" s="1"/>
  <c r="IP7" i="1" s="1"/>
  <c r="IQ7" i="1" s="1"/>
  <c r="IR7" i="1" s="1"/>
  <c r="IK5" i="1"/>
  <c r="IK6" i="1"/>
  <c r="IS7" i="1" l="1"/>
  <c r="IT7" i="1" s="1"/>
  <c r="IU7" i="1" s="1"/>
  <c r="IV7" i="1" s="1"/>
  <c r="IW7" i="1" s="1"/>
  <c r="IX7" i="1" s="1"/>
  <c r="IY7" i="1" s="1"/>
  <c r="IR6" i="1"/>
  <c r="IR5" i="1"/>
  <c r="IZ7" i="1" l="1"/>
  <c r="JA7" i="1" s="1"/>
  <c r="JB7" i="1" s="1"/>
  <c r="JC7" i="1" s="1"/>
  <c r="JD7" i="1" s="1"/>
  <c r="JE7" i="1" s="1"/>
  <c r="JF7" i="1" s="1"/>
  <c r="IY6" i="1"/>
  <c r="IY5" i="1"/>
  <c r="JG7" i="1" l="1"/>
  <c r="JH7" i="1" s="1"/>
  <c r="JI7" i="1" s="1"/>
  <c r="JJ7" i="1" s="1"/>
  <c r="JK7" i="1" s="1"/>
  <c r="JL7" i="1" s="1"/>
  <c r="JM7" i="1" s="1"/>
  <c r="JF6" i="1"/>
  <c r="JF5" i="1"/>
  <c r="JN7" i="1" l="1"/>
  <c r="JO7" i="1" s="1"/>
  <c r="JP7" i="1" s="1"/>
  <c r="JQ7" i="1" s="1"/>
  <c r="JR7" i="1" s="1"/>
  <c r="JS7" i="1" s="1"/>
  <c r="JT7" i="1" s="1"/>
  <c r="JM6" i="1"/>
  <c r="JM5" i="1"/>
  <c r="JT6" i="1" l="1"/>
  <c r="JU7" i="1"/>
  <c r="JV7" i="1" s="1"/>
  <c r="JW7" i="1" s="1"/>
  <c r="JX7" i="1" s="1"/>
  <c r="JY7" i="1" s="1"/>
  <c r="JZ7" i="1" s="1"/>
  <c r="KA7" i="1" s="1"/>
  <c r="JT5" i="1"/>
  <c r="KA6" i="1" l="1"/>
  <c r="KA5" i="1"/>
  <c r="KB7" i="1"/>
  <c r="KC7" i="1" s="1"/>
  <c r="KD7" i="1" s="1"/>
  <c r="KE7" i="1" s="1"/>
  <c r="KF7" i="1" s="1"/>
  <c r="KG7" i="1" s="1"/>
  <c r="KH7" i="1" s="1"/>
  <c r="KH6" i="1" l="1"/>
  <c r="KH5" i="1"/>
  <c r="KI7" i="1"/>
  <c r="KJ7" i="1" s="1"/>
  <c r="KK7" i="1" s="1"/>
  <c r="KL7" i="1" s="1"/>
  <c r="KM7" i="1" s="1"/>
  <c r="KN7" i="1" s="1"/>
  <c r="KO7" i="1" s="1"/>
  <c r="KP7" i="1" l="1"/>
  <c r="KQ7" i="1" s="1"/>
  <c r="KR7" i="1" s="1"/>
  <c r="KS7" i="1" s="1"/>
  <c r="KT7" i="1" s="1"/>
  <c r="KU7" i="1" s="1"/>
  <c r="KV7" i="1" s="1"/>
  <c r="KO6" i="1"/>
  <c r="KO5" i="1"/>
  <c r="KW7" i="1" l="1"/>
  <c r="KX7" i="1" s="1"/>
  <c r="KY7" i="1" s="1"/>
  <c r="KZ7" i="1" s="1"/>
  <c r="LA7" i="1" s="1"/>
  <c r="LB7" i="1" s="1"/>
  <c r="LC7" i="1" s="1"/>
  <c r="KV6" i="1"/>
  <c r="KV5" i="1"/>
  <c r="LD7" i="1" l="1"/>
  <c r="LE7" i="1" s="1"/>
  <c r="LF7" i="1" s="1"/>
  <c r="LG7" i="1" s="1"/>
  <c r="LH7" i="1" s="1"/>
  <c r="LI7" i="1" s="1"/>
  <c r="LJ7" i="1" s="1"/>
  <c r="LC6" i="1"/>
  <c r="LC5" i="1"/>
  <c r="LJ6" i="1" l="1"/>
  <c r="LK7" i="1"/>
  <c r="LL7" i="1" s="1"/>
  <c r="LM7" i="1" s="1"/>
  <c r="LN7" i="1" s="1"/>
  <c r="LO7" i="1" s="1"/>
  <c r="LP7" i="1" s="1"/>
  <c r="LQ7" i="1" s="1"/>
  <c r="LJ5" i="1"/>
  <c r="LQ6" i="1" l="1"/>
  <c r="LQ5" i="1"/>
  <c r="LR7" i="1"/>
  <c r="LS7" i="1" s="1"/>
  <c r="LT7" i="1" s="1"/>
  <c r="LU7" i="1" s="1"/>
  <c r="LV7" i="1" s="1"/>
  <c r="LW7" i="1" s="1"/>
  <c r="LX7" i="1" s="1"/>
  <c r="LX5" i="1" l="1"/>
  <c r="LY7" i="1"/>
  <c r="LZ7" i="1" s="1"/>
  <c r="MA7" i="1" s="1"/>
  <c r="MB7" i="1" s="1"/>
  <c r="MC7" i="1" s="1"/>
  <c r="MD7" i="1" s="1"/>
  <c r="ME7" i="1" s="1"/>
  <c r="LX6" i="1"/>
  <c r="ME6" i="1" l="1"/>
  <c r="ME5" i="1"/>
  <c r="MF7" i="1"/>
  <c r="MG7" i="1" s="1"/>
  <c r="MH7" i="1" s="1"/>
  <c r="MI7" i="1" s="1"/>
  <c r="MJ7" i="1" s="1"/>
  <c r="MK7" i="1" s="1"/>
  <c r="ML7" i="1" s="1"/>
  <c r="MM7" i="1" l="1"/>
  <c r="MN7" i="1" s="1"/>
  <c r="MO7" i="1" s="1"/>
  <c r="MP7" i="1" s="1"/>
  <c r="MQ7" i="1" s="1"/>
  <c r="MR7" i="1" s="1"/>
  <c r="MS7" i="1" s="1"/>
  <c r="ML6" i="1"/>
  <c r="ML5" i="1"/>
  <c r="MT7" i="1" l="1"/>
  <c r="MU7" i="1" s="1"/>
  <c r="MV7" i="1" s="1"/>
  <c r="MW7" i="1" s="1"/>
  <c r="MX7" i="1" s="1"/>
  <c r="MY7" i="1" s="1"/>
  <c r="MZ7" i="1" s="1"/>
  <c r="MS6" i="1"/>
  <c r="MS5" i="1"/>
  <c r="NA7" i="1" l="1"/>
  <c r="NB7" i="1" s="1"/>
  <c r="NC7" i="1" s="1"/>
  <c r="ND7" i="1" s="1"/>
  <c r="NE7" i="1" s="1"/>
  <c r="NF7" i="1" s="1"/>
  <c r="NG7" i="1" s="1"/>
  <c r="MZ6" i="1"/>
  <c r="MZ5" i="1"/>
  <c r="NG6" i="1" l="1"/>
  <c r="NG5" i="1"/>
  <c r="NH7" i="1"/>
  <c r="NI7" i="1" s="1"/>
  <c r="NJ7" i="1" s="1"/>
  <c r="NK7" i="1" s="1"/>
  <c r="NL7" i="1" s="1"/>
  <c r="NM7" i="1" s="1"/>
  <c r="NN7" i="1" s="1"/>
  <c r="NO7" i="1" l="1"/>
  <c r="NP7" i="1" s="1"/>
  <c r="NQ7" i="1" s="1"/>
  <c r="NR7" i="1" s="1"/>
  <c r="NS7" i="1" s="1"/>
  <c r="NT7" i="1" s="1"/>
  <c r="NN6" i="1"/>
  <c r="NN5" i="1"/>
</calcChain>
</file>

<file path=xl/sharedStrings.xml><?xml version="1.0" encoding="utf-8"?>
<sst xmlns="http://schemas.openxmlformats.org/spreadsheetml/2006/main" count="281" uniqueCount="79">
  <si>
    <t>Plan</t>
  </si>
  <si>
    <t>Ist</t>
  </si>
  <si>
    <t>Status</t>
  </si>
  <si>
    <t>Ergebnis</t>
  </si>
  <si>
    <t>Bemerkung</t>
  </si>
  <si>
    <t>KW</t>
  </si>
  <si>
    <t>Datum</t>
  </si>
  <si>
    <t>Stunden</t>
  </si>
  <si>
    <t>Thema</t>
  </si>
  <si>
    <t>Info</t>
  </si>
  <si>
    <t>Mo</t>
  </si>
  <si>
    <t>Di</t>
  </si>
  <si>
    <t>Mi</t>
  </si>
  <si>
    <t>Do</t>
  </si>
  <si>
    <t>Fr</t>
  </si>
  <si>
    <t>Aufgabe</t>
  </si>
  <si>
    <t>Aufgaben</t>
  </si>
  <si>
    <t>Gantt-Start:</t>
  </si>
  <si>
    <t>Projekt:</t>
  </si>
  <si>
    <t>Datum:</t>
  </si>
  <si>
    <t>Bezeichn.:</t>
  </si>
  <si>
    <t>P_Dauer</t>
  </si>
  <si>
    <t>P_Start</t>
  </si>
  <si>
    <t>P_Ende</t>
  </si>
  <si>
    <t>Nr</t>
  </si>
  <si>
    <t>Projekt</t>
  </si>
  <si>
    <t>Tag</t>
  </si>
  <si>
    <t>Sa</t>
  </si>
  <si>
    <t>Gannt</t>
  </si>
  <si>
    <t>I_Dauer</t>
  </si>
  <si>
    <t>I_Ende</t>
  </si>
  <si>
    <t>I_Start</t>
  </si>
  <si>
    <t>Meilenstein</t>
  </si>
  <si>
    <t>project 1</t>
  </si>
  <si>
    <t>milestone 1</t>
  </si>
  <si>
    <t>task 1</t>
  </si>
  <si>
    <t>project 2</t>
  </si>
  <si>
    <t>task 4</t>
  </si>
  <si>
    <t>Milestone 4</t>
  </si>
  <si>
    <t>info</t>
  </si>
  <si>
    <t>last info</t>
  </si>
  <si>
    <t>Jahr</t>
  </si>
  <si>
    <t>export</t>
  </si>
  <si>
    <t>info 2</t>
  </si>
  <si>
    <t>Unit</t>
  </si>
  <si>
    <t>Movement</t>
  </si>
  <si>
    <t>Can Move while selected</t>
  </si>
  <si>
    <t>Can be moved while already moving</t>
  </si>
  <si>
    <t>Warhammer 40k round based game</t>
  </si>
  <si>
    <t>Create MovementRange class</t>
  </si>
  <si>
    <t>erledigt</t>
  </si>
  <si>
    <t>Has MoveRange Property</t>
  </si>
  <si>
    <t>Stops when MoveRange is 0</t>
  </si>
  <si>
    <t>Is marked as Done when MoveRange is 0</t>
  </si>
  <si>
    <t>Can´t Move while MoveRange is 0</t>
  </si>
  <si>
    <t>Create MovementController class</t>
  </si>
  <si>
    <t>Create MovementRangeBuilder</t>
  </si>
  <si>
    <t>Shooting Calculations</t>
  </si>
  <si>
    <t>Amount of Shots taken from weapon class</t>
  </si>
  <si>
    <t>Shots</t>
  </si>
  <si>
    <t>create Shots class</t>
  </si>
  <si>
    <t>Has a Threshhold toHit</t>
  </si>
  <si>
    <t>ToHit is taken from active units Ballistic Skill</t>
  </si>
  <si>
    <t>ToHit is limited to values from 1 to 6</t>
  </si>
  <si>
    <t>Hits</t>
  </si>
  <si>
    <t>create Hits class</t>
  </si>
  <si>
    <t>Throw Exception when hits is 0</t>
  </si>
  <si>
    <t>Hits contains a list of hits</t>
  </si>
  <si>
    <t>create HitBuilder</t>
  </si>
  <si>
    <t>UI</t>
  </si>
  <si>
    <t>Display Unit Stats</t>
  </si>
  <si>
    <t>Displays blend in when curser hovers over unit</t>
  </si>
  <si>
    <t>Player Unit Display is not shown when unit is done</t>
  </si>
  <si>
    <t>Create 2 Event Channels for Player and Enemy Display</t>
  </si>
  <si>
    <t>Create 2 Stats Displays Elements for Player and Enemy Units</t>
  </si>
  <si>
    <t>Create UIDisplayInfo class</t>
  </si>
  <si>
    <t>Display vanish when cursor exits pointer range</t>
  </si>
  <si>
    <t>When Unit is Activated, player units display is locked visible</t>
  </si>
  <si>
    <t>Display Elements are: unit name, unit stats, weapon name, weapon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</si>
</sst>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/m;@"/>
    <numFmt numFmtId="165" formatCode="0.00\ &quot;h&quot;"/>
    <numFmt numFmtId="166" formatCode="0\ &quot;d&quot;"/>
    <numFmt numFmtId="167" formatCode="[$-407]ddd"/>
    <numFmt numFmtId="168" formatCode="&quot;M&quot;"/>
    <numFmt numFmtId="169" formatCode="&quot;D&quot;"/>
    <numFmt numFmtId="170" formatCode="&quot;F&quot;"/>
    <numFmt numFmtId="171" formatCode="&quot;S&quot;"/>
    <numFmt numFmtId="172" formatCode="m/d/yyyy"/>
  </numFmts>
  <fonts count="16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4"/>
      <color theme="1"/>
      <name val="Arial"/>
      <family val="2"/>
    </font>
    <font>
      <sz val="7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8"/>
      <color theme="0"/>
      <name val="Arial"/>
      <family val="2"/>
    </font>
    <font>
      <b/>
      <sz val="7"/>
      <color theme="1"/>
      <name val="Arial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Fill="1" applyBorder="1"/>
    <xf numFmtId="0" fontId="3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5" xfId="0" applyNumberFormat="1" applyBorder="1"/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13" xfId="0" applyFont="1" applyFill="1" applyBorder="1"/>
    <xf numFmtId="0" fontId="1" fillId="0" borderId="0" xfId="0" applyFont="1" applyFill="1"/>
    <xf numFmtId="0" fontId="5" fillId="4" borderId="0" xfId="0" applyFont="1" applyFill="1"/>
    <xf numFmtId="0" fontId="1" fillId="4" borderId="0" xfId="0" applyFont="1" applyFill="1" applyAlignment="1">
      <alignment horizontal="right"/>
    </xf>
    <xf numFmtId="14" fontId="1" fillId="4" borderId="0" xfId="0" applyNumberFormat="1" applyFont="1" applyFill="1" applyAlignment="1">
      <alignment horizontal="right"/>
    </xf>
    <xf numFmtId="14" fontId="0" fillId="4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0" borderId="0" xfId="0" applyFont="1"/>
    <xf numFmtId="14" fontId="6" fillId="0" borderId="0" xfId="0" applyNumberFormat="1" applyFont="1"/>
    <xf numFmtId="0" fontId="8" fillId="0" borderId="0" xfId="0" applyFont="1"/>
    <xf numFmtId="0" fontId="1" fillId="4" borderId="12" xfId="0" applyFont="1" applyFill="1" applyBorder="1"/>
    <xf numFmtId="0" fontId="1" fillId="4" borderId="11" xfId="0" applyFont="1" applyFill="1" applyBorder="1"/>
    <xf numFmtId="14" fontId="1" fillId="4" borderId="12" xfId="0" applyNumberFormat="1" applyFont="1" applyFill="1" applyBorder="1"/>
    <xf numFmtId="0" fontId="9" fillId="0" borderId="0" xfId="0" applyFont="1" applyFill="1"/>
    <xf numFmtId="0" fontId="9" fillId="0" borderId="0" xfId="0" applyFont="1"/>
    <xf numFmtId="0" fontId="9" fillId="0" borderId="5" xfId="0" applyFont="1" applyFill="1" applyBorder="1" applyAlignment="1">
      <alignment horizontal="left"/>
    </xf>
    <xf numFmtId="0" fontId="9" fillId="0" borderId="0" xfId="0" applyFont="1" applyFill="1" applyBorder="1"/>
    <xf numFmtId="166" fontId="9" fillId="0" borderId="0" xfId="0" applyNumberFormat="1" applyFont="1" applyFill="1"/>
    <xf numFmtId="165" fontId="9" fillId="0" borderId="0" xfId="0" applyNumberFormat="1" applyFont="1" applyFill="1"/>
    <xf numFmtId="0" fontId="1" fillId="4" borderId="0" xfId="0" applyFont="1" applyFill="1" applyBorder="1"/>
    <xf numFmtId="167" fontId="6" fillId="0" borderId="0" xfId="0" applyNumberFormat="1" applyFont="1"/>
    <xf numFmtId="0" fontId="10" fillId="0" borderId="0" xfId="0" applyFont="1" applyFill="1"/>
    <xf numFmtId="0" fontId="11" fillId="4" borderId="12" xfId="0" applyFont="1" applyFill="1" applyBorder="1"/>
    <xf numFmtId="0" fontId="0" fillId="0" borderId="7" xfId="0" applyBorder="1" applyAlignment="1">
      <alignment horizontal="center"/>
    </xf>
    <xf numFmtId="0" fontId="2" fillId="2" borderId="0" xfId="0" applyFont="1" applyFill="1"/>
    <xf numFmtId="14" fontId="0" fillId="0" borderId="2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" xfId="0" applyNumberFormat="1" applyBorder="1"/>
    <xf numFmtId="14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Font="1" applyFill="1"/>
    <xf numFmtId="14" fontId="3" fillId="0" borderId="0" xfId="0" applyNumberFormat="1" applyFont="1" applyFill="1"/>
    <xf numFmtId="0" fontId="13" fillId="0" borderId="0" xfId="0" applyFont="1" applyFill="1" applyBorder="1"/>
    <xf numFmtId="0" fontId="0" fillId="0" borderId="7" xfId="0" applyBorder="1" applyAlignment="1">
      <alignment horizontal="center"/>
    </xf>
    <xf numFmtId="14" fontId="0" fillId="0" borderId="0" xfId="0" applyNumberFormat="1" applyFont="1" applyFill="1" applyBorder="1"/>
    <xf numFmtId="14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/>
    </xf>
    <xf numFmtId="14" fontId="9" fillId="0" borderId="0" xfId="0" applyNumberFormat="1" applyFont="1" applyFill="1"/>
    <xf numFmtId="14" fontId="9" fillId="0" borderId="0" xfId="0" applyNumberFormat="1" applyFont="1" applyFill="1" applyBorder="1"/>
    <xf numFmtId="0" fontId="10" fillId="0" borderId="5" xfId="0" applyFont="1" applyFill="1" applyBorder="1" applyAlignment="1">
      <alignment horizontal="left"/>
    </xf>
    <xf numFmtId="0" fontId="14" fillId="3" borderId="5" xfId="0" applyFont="1" applyFill="1" applyBorder="1" applyAlignment="1">
      <alignment horizontal="left"/>
    </xf>
    <xf numFmtId="0" fontId="14" fillId="3" borderId="0" xfId="0" applyFont="1" applyFill="1"/>
    <xf numFmtId="0" fontId="0" fillId="0" borderId="0" xfId="0" applyFont="1" applyFill="1" applyBorder="1" applyAlignment="1">
      <alignment horizontal="center"/>
    </xf>
    <xf numFmtId="168" fontId="8" fillId="0" borderId="0" xfId="0" applyNumberFormat="1" applyFont="1" applyAlignment="1">
      <alignment horizontal="center"/>
    </xf>
    <xf numFmtId="169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171" fontId="8" fillId="5" borderId="0" xfId="0" applyNumberFormat="1" applyFont="1" applyFill="1" applyAlignment="1">
      <alignment horizontal="center"/>
    </xf>
    <xf numFmtId="171" fontId="8" fillId="3" borderId="0" xfId="0" applyNumberFormat="1" applyFont="1" applyFill="1" applyAlignment="1">
      <alignment horizontal="center"/>
    </xf>
    <xf numFmtId="14" fontId="0" fillId="0" borderId="0" xfId="0" applyNumberFormat="1" applyFill="1"/>
    <xf numFmtId="0" fontId="15" fillId="0" borderId="0" xfId="0" applyFont="1" applyFill="1"/>
    <xf numFmtId="0" fontId="8" fillId="3" borderId="0" xfId="0" applyFont="1" applyFill="1"/>
    <xf numFmtId="172" fontId="9" fillId="0" borderId="0" xfId="0" applyNumberFormat="1" applyFont="1" applyFill="1"/>
    <xf numFmtId="172" fontId="9" fillId="0" borderId="0" xfId="0" applyNumberFormat="1" applyFont="1" applyFill="1" applyBorder="1"/>
    <xf numFmtId="0" fontId="8" fillId="6" borderId="0" xfId="0" applyFont="1" applyFill="1"/>
    <xf numFmtId="0" fontId="9" fillId="0" borderId="5" xfId="0" applyNumberFormat="1" applyFont="1" applyFill="1" applyBorder="1" applyAlignment="1">
      <alignment horizontal="left"/>
    </xf>
    <xf numFmtId="0" fontId="14" fillId="3" borderId="5" xfId="0" applyNumberFormat="1" applyFont="1" applyFill="1" applyBorder="1" applyAlignment="1">
      <alignment horizontal="left"/>
    </xf>
    <xf numFmtId="0" fontId="6" fillId="0" borderId="0" xfId="0" applyNumberFormat="1" applyFont="1"/>
    <xf numFmtId="0" fontId="10" fillId="0" borderId="5" xfId="0" applyNumberFormat="1" applyFont="1" applyFill="1" applyBorder="1" applyAlignment="1">
      <alignment horizontal="left"/>
    </xf>
    <xf numFmtId="14" fontId="10" fillId="0" borderId="0" xfId="0" applyNumberFormat="1" applyFont="1" applyFill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</cellXfs>
  <cellStyles count="1">
    <cellStyle name="Standard" xfId="0" builtinId="0"/>
  </cellStyles>
  <dxfs count="17"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2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5" formatCode="0.00\ &quot;h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2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2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6" formatCode="0\ &quot;d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2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8"/>
          <bgColor theme="8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0</xdr:row>
          <xdr:rowOff>0</xdr:rowOff>
        </xdr:from>
        <xdr:to>
          <xdr:col>2</xdr:col>
          <xdr:colOff>542925</xdr:colOff>
          <xdr:row>1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8</xdr:row>
          <xdr:rowOff>85725</xdr:rowOff>
        </xdr:from>
        <xdr:to>
          <xdr:col>6</xdr:col>
          <xdr:colOff>485775</xdr:colOff>
          <xdr:row>12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weekplan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6</xdr:col>
          <xdr:colOff>466725</xdr:colOff>
          <xdr:row>21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828675</xdr:colOff>
          <xdr:row>14</xdr:row>
          <xdr:rowOff>19050</xdr:rowOff>
        </xdr:from>
        <xdr:to>
          <xdr:col>6</xdr:col>
          <xdr:colOff>457200</xdr:colOff>
          <xdr:row>16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project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Übersicht" displayName="Übersicht" ref="B7:L43" totalsRowShown="0" headerRowDxfId="16" dataDxfId="0" tableBorderDxfId="15">
  <autoFilter ref="B7:L43" xr:uid="{00000000-0009-0000-0100-000001000000}">
    <filterColumn colId="2">
      <filters blank="1"/>
    </filterColumn>
  </autoFilter>
  <tableColumns count="11">
    <tableColumn id="1" xr3:uid="{00000000-0010-0000-0000-000001000000}" name="Nr" dataDxfId="11"/>
    <tableColumn id="2" xr3:uid="{00000000-0010-0000-0000-000002000000}" name="Aufgabe" dataDxfId="10"/>
    <tableColumn id="12" xr3:uid="{00000000-0010-0000-0000-00000C000000}" name="Status" dataDxfId="9"/>
    <tableColumn id="7" xr3:uid="{00000000-0010-0000-0000-000007000000}" name="P_Start" dataDxfId="8"/>
    <tableColumn id="8" xr3:uid="{00000000-0010-0000-0000-000008000000}" name="P_Dauer" dataDxfId="7"/>
    <tableColumn id="3" xr3:uid="{00000000-0010-0000-0000-000003000000}" name="P_Ende" dataDxfId="6"/>
    <tableColumn id="9" xr3:uid="{00000000-0010-0000-0000-000009000000}" name="I_Start" dataDxfId="5"/>
    <tableColumn id="10" xr3:uid="{00000000-0010-0000-0000-00000A000000}" name="I_Dauer" dataDxfId="4"/>
    <tableColumn id="4" xr3:uid="{00000000-0010-0000-0000-000004000000}" name="I_Ende" dataDxfId="3"/>
    <tableColumn id="5" xr3:uid="{00000000-0010-0000-0000-000005000000}" name="Ergebnis" dataDxfId="2"/>
    <tableColumn id="6" xr3:uid="{00000000-0010-0000-0000-000006000000}" name="Bemerkung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euertabelle" displayName="Steuertabelle" ref="A1:B18" totalsRowShown="0" headerRowDxfId="14" tableBorderDxfId="13">
  <autoFilter ref="A1:B18" xr:uid="{00000000-0009-0000-0100-000002000000}"/>
  <tableColumns count="2">
    <tableColumn id="3" xr3:uid="{00000000-0010-0000-0100-000003000000}" name="Status"/>
    <tableColumn id="15" xr3:uid="{00000000-0010-0000-0100-00000F000000}" name="Gannt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T126"/>
  <sheetViews>
    <sheetView tabSelected="1" zoomScale="130" zoomScaleNormal="130" workbookViewId="0">
      <pane xSplit="4" ySplit="7" topLeftCell="E32" activePane="bottomRight" state="frozen"/>
      <selection pane="topRight" activeCell="D1" sqref="D1"/>
      <selection pane="bottomLeft" activeCell="A9" sqref="A9"/>
      <selection pane="bottomRight" activeCell="C41" sqref="C41"/>
    </sheetView>
  </sheetViews>
  <sheetFormatPr baseColWidth="10" defaultRowHeight="14.25" outlineLevelRow="2" outlineLevelCol="1" x14ac:dyDescent="0.2"/>
  <cols>
    <col min="1" max="1" width="1.625" customWidth="1"/>
    <col min="2" max="2" width="11.75" customWidth="1"/>
    <col min="3" max="3" width="39.625" bestFit="1" customWidth="1"/>
    <col min="4" max="4" width="12.125" customWidth="1"/>
    <col min="5" max="5" width="11.625" style="1" hidden="1" customWidth="1" outlineLevel="1"/>
    <col min="6" max="6" width="13.125" hidden="1" customWidth="1" outlineLevel="1"/>
    <col min="7" max="7" width="12.125" style="1" hidden="1" customWidth="1" outlineLevel="1"/>
    <col min="8" max="8" width="10.625" hidden="1" customWidth="1" outlineLevel="1"/>
    <col min="9" max="9" width="12.125" hidden="1" customWidth="1" outlineLevel="1"/>
    <col min="10" max="10" width="11.125" hidden="1" customWidth="1" outlineLevel="1"/>
    <col min="11" max="11" width="17.25" hidden="1" customWidth="1" outlineLevel="1"/>
    <col min="12" max="12" width="28.5" hidden="1" customWidth="1" outlineLevel="1"/>
    <col min="13" max="13" width="1.375" customWidth="1" collapsed="1"/>
    <col min="14" max="384" width="0.875" customWidth="1"/>
  </cols>
  <sheetData>
    <row r="1" spans="1:384" x14ac:dyDescent="0.2">
      <c r="B1" s="42" t="s">
        <v>41</v>
      </c>
    </row>
    <row r="3" spans="1:384" ht="15.75" x14ac:dyDescent="0.25">
      <c r="B3" s="24" t="s">
        <v>18</v>
      </c>
      <c r="C3" s="25" t="s">
        <v>48</v>
      </c>
      <c r="D3" s="28" t="s">
        <v>17</v>
      </c>
      <c r="F3" s="1"/>
    </row>
    <row r="4" spans="1:384" ht="15.75" x14ac:dyDescent="0.25">
      <c r="B4" s="24" t="s">
        <v>20</v>
      </c>
      <c r="C4" s="25"/>
      <c r="D4" s="27">
        <v>44562</v>
      </c>
      <c r="G4" s="72"/>
    </row>
    <row r="5" spans="1:384" ht="15.75" x14ac:dyDescent="0.25">
      <c r="B5" s="24" t="s">
        <v>19</v>
      </c>
      <c r="C5" s="26">
        <v>44644</v>
      </c>
      <c r="N5" s="83" t="str">
        <f>"KW"&amp;WEEKNUM(N7,1)</f>
        <v>KW53</v>
      </c>
      <c r="O5" s="83"/>
      <c r="P5" s="83"/>
      <c r="Q5" s="83"/>
      <c r="R5" s="83"/>
      <c r="S5" s="83"/>
      <c r="T5" s="83"/>
      <c r="U5" s="83" t="str">
        <f>"KW"&amp;WEEKNUM(U7,1)</f>
        <v>KW2</v>
      </c>
      <c r="V5" s="83"/>
      <c r="W5" s="83"/>
      <c r="X5" s="83"/>
      <c r="Y5" s="83"/>
      <c r="Z5" s="83"/>
      <c r="AA5" s="83"/>
      <c r="AB5" s="83" t="str">
        <f>"KW"&amp;WEEKNUM(AB7,1)</f>
        <v>KW3</v>
      </c>
      <c r="AC5" s="83"/>
      <c r="AD5" s="83"/>
      <c r="AE5" s="83"/>
      <c r="AF5" s="83"/>
      <c r="AG5" s="83"/>
      <c r="AH5" s="83"/>
      <c r="AI5" s="83" t="str">
        <f>"KW"&amp;WEEKNUM(AI7,1)</f>
        <v>KW4</v>
      </c>
      <c r="AJ5" s="83"/>
      <c r="AK5" s="83"/>
      <c r="AL5" s="83"/>
      <c r="AM5" s="83"/>
      <c r="AN5" s="83"/>
      <c r="AO5" s="83"/>
      <c r="AP5" s="83" t="str">
        <f>"KW"&amp;WEEKNUM(AP7,1)</f>
        <v>KW5</v>
      </c>
      <c r="AQ5" s="83"/>
      <c r="AR5" s="83"/>
      <c r="AS5" s="83"/>
      <c r="AT5" s="83"/>
      <c r="AU5" s="83"/>
      <c r="AV5" s="83"/>
      <c r="AW5" s="83" t="str">
        <f>"KW"&amp;WEEKNUM(AW7,1)</f>
        <v>KW6</v>
      </c>
      <c r="AX5" s="83"/>
      <c r="AY5" s="83"/>
      <c r="AZ5" s="83"/>
      <c r="BA5" s="83"/>
      <c r="BB5" s="83"/>
      <c r="BC5" s="83"/>
      <c r="BD5" s="83" t="str">
        <f>"KW"&amp;WEEKNUM(BD7,1)</f>
        <v>KW7</v>
      </c>
      <c r="BE5" s="83"/>
      <c r="BF5" s="83"/>
      <c r="BG5" s="83"/>
      <c r="BH5" s="83"/>
      <c r="BI5" s="83"/>
      <c r="BJ5" s="83"/>
      <c r="BK5" s="83" t="str">
        <f>"KW"&amp;WEEKNUM(BK7,1)</f>
        <v>KW8</v>
      </c>
      <c r="BL5" s="83"/>
      <c r="BM5" s="83"/>
      <c r="BN5" s="83"/>
      <c r="BO5" s="83"/>
      <c r="BP5" s="83"/>
      <c r="BQ5" s="83"/>
      <c r="BR5" s="83" t="str">
        <f>"KW"&amp;WEEKNUM(BR7,1)</f>
        <v>KW9</v>
      </c>
      <c r="BS5" s="83"/>
      <c r="BT5" s="83"/>
      <c r="BU5" s="83"/>
      <c r="BV5" s="83"/>
      <c r="BW5" s="83"/>
      <c r="BX5" s="83"/>
      <c r="BY5" s="83" t="str">
        <f>"KW"&amp;WEEKNUM(BY7,1)</f>
        <v>KW10</v>
      </c>
      <c r="BZ5" s="83"/>
      <c r="CA5" s="83"/>
      <c r="CB5" s="83"/>
      <c r="CC5" s="83"/>
      <c r="CD5" s="83"/>
      <c r="CE5" s="83"/>
      <c r="CF5" s="83" t="str">
        <f>"KW"&amp;WEEKNUM(CF7,1)</f>
        <v>KW11</v>
      </c>
      <c r="CG5" s="83"/>
      <c r="CH5" s="83"/>
      <c r="CI5" s="83"/>
      <c r="CJ5" s="83"/>
      <c r="CK5" s="83"/>
      <c r="CL5" s="83"/>
      <c r="CM5" s="83" t="str">
        <f>"KW"&amp;WEEKNUM(CM7,1)</f>
        <v>KW12</v>
      </c>
      <c r="CN5" s="83"/>
      <c r="CO5" s="83"/>
      <c r="CP5" s="83"/>
      <c r="CQ5" s="83"/>
      <c r="CR5" s="83"/>
      <c r="CS5" s="83"/>
      <c r="CT5" s="83" t="str">
        <f>"KW"&amp;WEEKNUM(CT7,1)</f>
        <v>KW13</v>
      </c>
      <c r="CU5" s="83"/>
      <c r="CV5" s="83"/>
      <c r="CW5" s="83"/>
      <c r="CX5" s="83"/>
      <c r="CY5" s="83"/>
      <c r="CZ5" s="83"/>
      <c r="DA5" s="83" t="str">
        <f>"KW"&amp;WEEKNUM(DA7,1)</f>
        <v>KW14</v>
      </c>
      <c r="DB5" s="83"/>
      <c r="DC5" s="83"/>
      <c r="DD5" s="83"/>
      <c r="DE5" s="83"/>
      <c r="DF5" s="83"/>
      <c r="DG5" s="83"/>
      <c r="DH5" s="83" t="str">
        <f>"KW"&amp;WEEKNUM(DH7,1)</f>
        <v>KW15</v>
      </c>
      <c r="DI5" s="83"/>
      <c r="DJ5" s="83"/>
      <c r="DK5" s="83"/>
      <c r="DL5" s="83"/>
      <c r="DM5" s="83"/>
      <c r="DN5" s="83"/>
      <c r="DO5" s="83" t="str">
        <f>"KW"&amp;WEEKNUM(DO7,1)</f>
        <v>KW16</v>
      </c>
      <c r="DP5" s="83"/>
      <c r="DQ5" s="83"/>
      <c r="DR5" s="83"/>
      <c r="DS5" s="83"/>
      <c r="DT5" s="83"/>
      <c r="DU5" s="83"/>
      <c r="DV5" s="83" t="str">
        <f>"KW"&amp;WEEKNUM(DV7,1)</f>
        <v>KW17</v>
      </c>
      <c r="DW5" s="83"/>
      <c r="DX5" s="83"/>
      <c r="DY5" s="83"/>
      <c r="DZ5" s="83"/>
      <c r="EA5" s="83"/>
      <c r="EB5" s="83"/>
      <c r="EC5" s="83" t="str">
        <f>"KW"&amp;WEEKNUM(EC7,1)</f>
        <v>KW18</v>
      </c>
      <c r="ED5" s="83"/>
      <c r="EE5" s="83"/>
      <c r="EF5" s="83"/>
      <c r="EG5" s="83"/>
      <c r="EH5" s="83"/>
      <c r="EI5" s="83"/>
      <c r="EJ5" s="83" t="str">
        <f>"KW"&amp;WEEKNUM(EJ7,1)</f>
        <v>KW19</v>
      </c>
      <c r="EK5" s="83"/>
      <c r="EL5" s="83"/>
      <c r="EM5" s="83"/>
      <c r="EN5" s="83"/>
      <c r="EO5" s="83"/>
      <c r="EP5" s="83"/>
      <c r="EQ5" s="83" t="str">
        <f>"KW"&amp;WEEKNUM(EQ7,1)</f>
        <v>KW20</v>
      </c>
      <c r="ER5" s="83"/>
      <c r="ES5" s="83"/>
      <c r="ET5" s="83"/>
      <c r="EU5" s="83"/>
      <c r="EV5" s="83"/>
      <c r="EW5" s="83"/>
      <c r="EX5" s="83" t="str">
        <f>"KW"&amp;WEEKNUM(EX7,1)</f>
        <v>KW21</v>
      </c>
      <c r="EY5" s="83"/>
      <c r="EZ5" s="83"/>
      <c r="FA5" s="83"/>
      <c r="FB5" s="83"/>
      <c r="FC5" s="83"/>
      <c r="FD5" s="83"/>
      <c r="FE5" s="83" t="str">
        <f>"KW"&amp;WEEKNUM(FE7,1)</f>
        <v>KW22</v>
      </c>
      <c r="FF5" s="83"/>
      <c r="FG5" s="83"/>
      <c r="FH5" s="83"/>
      <c r="FI5" s="83"/>
      <c r="FJ5" s="83"/>
      <c r="FK5" s="83"/>
      <c r="FL5" s="83" t="str">
        <f>"KW"&amp;WEEKNUM(FL7,1)</f>
        <v>KW23</v>
      </c>
      <c r="FM5" s="83"/>
      <c r="FN5" s="83"/>
      <c r="FO5" s="83"/>
      <c r="FP5" s="83"/>
      <c r="FQ5" s="83"/>
      <c r="FR5" s="83"/>
      <c r="FS5" s="83" t="str">
        <f>"KW"&amp;WEEKNUM(FS7,1)</f>
        <v>KW24</v>
      </c>
      <c r="FT5" s="83"/>
      <c r="FU5" s="83"/>
      <c r="FV5" s="83"/>
      <c r="FW5" s="83"/>
      <c r="FX5" s="83"/>
      <c r="FY5" s="83"/>
      <c r="FZ5" s="83" t="str">
        <f>"KW"&amp;WEEKNUM(FZ7,1)</f>
        <v>KW25</v>
      </c>
      <c r="GA5" s="83"/>
      <c r="GB5" s="83"/>
      <c r="GC5" s="83"/>
      <c r="GD5" s="83"/>
      <c r="GE5" s="83"/>
      <c r="GF5" s="83"/>
      <c r="GG5" s="83" t="str">
        <f>"KW"&amp;WEEKNUM(GG7,1)</f>
        <v>KW26</v>
      </c>
      <c r="GH5" s="83"/>
      <c r="GI5" s="83"/>
      <c r="GJ5" s="83"/>
      <c r="GK5" s="83"/>
      <c r="GL5" s="83"/>
      <c r="GM5" s="83"/>
      <c r="GN5" s="83" t="str">
        <f>"KW"&amp;WEEKNUM(GN7,1)</f>
        <v>KW27</v>
      </c>
      <c r="GO5" s="83"/>
      <c r="GP5" s="83"/>
      <c r="GQ5" s="83"/>
      <c r="GR5" s="83"/>
      <c r="GS5" s="83"/>
      <c r="GT5" s="83"/>
      <c r="GU5" s="83" t="str">
        <f>"KW"&amp;WEEKNUM(GU7,1)</f>
        <v>KW28</v>
      </c>
      <c r="GV5" s="83"/>
      <c r="GW5" s="83"/>
      <c r="GX5" s="83"/>
      <c r="GY5" s="83"/>
      <c r="GZ5" s="83"/>
      <c r="HA5" s="83"/>
      <c r="HB5" s="83" t="str">
        <f>"KW"&amp;WEEKNUM(HB7,1)</f>
        <v>KW29</v>
      </c>
      <c r="HC5" s="83"/>
      <c r="HD5" s="83"/>
      <c r="HE5" s="83"/>
      <c r="HF5" s="83"/>
      <c r="HG5" s="83"/>
      <c r="HH5" s="83"/>
      <c r="HI5" s="83" t="str">
        <f>"KW"&amp;WEEKNUM(HI7,1)</f>
        <v>KW30</v>
      </c>
      <c r="HJ5" s="83"/>
      <c r="HK5" s="83"/>
      <c r="HL5" s="83"/>
      <c r="HM5" s="83"/>
      <c r="HN5" s="83"/>
      <c r="HO5" s="83"/>
      <c r="HP5" s="83" t="str">
        <f>"KW"&amp;WEEKNUM(HP7,1)</f>
        <v>KW31</v>
      </c>
      <c r="HQ5" s="83"/>
      <c r="HR5" s="83"/>
      <c r="HS5" s="83"/>
      <c r="HT5" s="83"/>
      <c r="HU5" s="83"/>
      <c r="HV5" s="83"/>
      <c r="HW5" s="83" t="str">
        <f>"KW"&amp;WEEKNUM(HW7,1)</f>
        <v>KW32</v>
      </c>
      <c r="HX5" s="83"/>
      <c r="HY5" s="83"/>
      <c r="HZ5" s="83"/>
      <c r="IA5" s="83"/>
      <c r="IB5" s="83"/>
      <c r="IC5" s="83"/>
      <c r="ID5" s="83" t="str">
        <f>"KW"&amp;WEEKNUM(ID7,1)</f>
        <v>KW33</v>
      </c>
      <c r="IE5" s="83"/>
      <c r="IF5" s="83"/>
      <c r="IG5" s="83"/>
      <c r="IH5" s="83"/>
      <c r="II5" s="83"/>
      <c r="IJ5" s="83"/>
      <c r="IK5" s="83" t="str">
        <f>"KW"&amp;WEEKNUM(IK7,1)</f>
        <v>KW34</v>
      </c>
      <c r="IL5" s="83"/>
      <c r="IM5" s="83"/>
      <c r="IN5" s="83"/>
      <c r="IO5" s="83"/>
      <c r="IP5" s="83"/>
      <c r="IQ5" s="83"/>
      <c r="IR5" s="83" t="str">
        <f>"KW"&amp;WEEKNUM(IR7,1)</f>
        <v>KW35</v>
      </c>
      <c r="IS5" s="83"/>
      <c r="IT5" s="83"/>
      <c r="IU5" s="83"/>
      <c r="IV5" s="83"/>
      <c r="IW5" s="83"/>
      <c r="IX5" s="83"/>
      <c r="IY5" s="83" t="str">
        <f>"KW"&amp;WEEKNUM(IY7,1)</f>
        <v>KW36</v>
      </c>
      <c r="IZ5" s="83"/>
      <c r="JA5" s="83"/>
      <c r="JB5" s="83"/>
      <c r="JC5" s="83"/>
      <c r="JD5" s="83"/>
      <c r="JE5" s="83"/>
      <c r="JF5" s="83" t="str">
        <f>"KW"&amp;WEEKNUM(JF7,1)</f>
        <v>KW37</v>
      </c>
      <c r="JG5" s="83"/>
      <c r="JH5" s="83"/>
      <c r="JI5" s="83"/>
      <c r="JJ5" s="83"/>
      <c r="JK5" s="83"/>
      <c r="JL5" s="83"/>
      <c r="JM5" s="83" t="str">
        <f>"KW"&amp;WEEKNUM(JM7,1)</f>
        <v>KW38</v>
      </c>
      <c r="JN5" s="83"/>
      <c r="JO5" s="83"/>
      <c r="JP5" s="83"/>
      <c r="JQ5" s="83"/>
      <c r="JR5" s="83"/>
      <c r="JS5" s="83"/>
      <c r="JT5" s="83" t="str">
        <f>"KW"&amp;WEEKNUM(JT7,1)</f>
        <v>KW39</v>
      </c>
      <c r="JU5" s="83"/>
      <c r="JV5" s="83"/>
      <c r="JW5" s="83"/>
      <c r="JX5" s="83"/>
      <c r="JY5" s="83"/>
      <c r="JZ5" s="83"/>
      <c r="KA5" s="83" t="str">
        <f>"KW"&amp;WEEKNUM(KA7,1)</f>
        <v>KW40</v>
      </c>
      <c r="KB5" s="83"/>
      <c r="KC5" s="83"/>
      <c r="KD5" s="83"/>
      <c r="KE5" s="83"/>
      <c r="KF5" s="83"/>
      <c r="KG5" s="83"/>
      <c r="KH5" s="83" t="str">
        <f>"KW"&amp;WEEKNUM(KH7,1)</f>
        <v>KW41</v>
      </c>
      <c r="KI5" s="83"/>
      <c r="KJ5" s="83"/>
      <c r="KK5" s="83"/>
      <c r="KL5" s="83"/>
      <c r="KM5" s="83"/>
      <c r="KN5" s="83"/>
      <c r="KO5" s="83" t="str">
        <f>"KW"&amp;WEEKNUM(KO7,1)</f>
        <v>KW42</v>
      </c>
      <c r="KP5" s="83"/>
      <c r="KQ5" s="83"/>
      <c r="KR5" s="83"/>
      <c r="KS5" s="83"/>
      <c r="KT5" s="83"/>
      <c r="KU5" s="83"/>
      <c r="KV5" s="83" t="str">
        <f>"KW"&amp;WEEKNUM(KV7,1)</f>
        <v>KW43</v>
      </c>
      <c r="KW5" s="83"/>
      <c r="KX5" s="83"/>
      <c r="KY5" s="83"/>
      <c r="KZ5" s="83"/>
      <c r="LA5" s="83"/>
      <c r="LB5" s="83"/>
      <c r="LC5" s="83" t="str">
        <f>"KW"&amp;WEEKNUM(LC7,1)</f>
        <v>KW44</v>
      </c>
      <c r="LD5" s="83"/>
      <c r="LE5" s="83"/>
      <c r="LF5" s="83"/>
      <c r="LG5" s="83"/>
      <c r="LH5" s="83"/>
      <c r="LI5" s="83"/>
      <c r="LJ5" s="83" t="str">
        <f>"KW"&amp;WEEKNUM(LJ7,1)</f>
        <v>KW45</v>
      </c>
      <c r="LK5" s="83"/>
      <c r="LL5" s="83"/>
      <c r="LM5" s="83"/>
      <c r="LN5" s="83"/>
      <c r="LO5" s="83"/>
      <c r="LP5" s="83"/>
      <c r="LQ5" s="83" t="str">
        <f>"KW"&amp;WEEKNUM(LQ7,1)</f>
        <v>KW46</v>
      </c>
      <c r="LR5" s="83"/>
      <c r="LS5" s="83"/>
      <c r="LT5" s="83"/>
      <c r="LU5" s="83"/>
      <c r="LV5" s="83"/>
      <c r="LW5" s="83"/>
      <c r="LX5" s="83" t="str">
        <f>"KW"&amp;WEEKNUM(LX7,1)</f>
        <v>KW47</v>
      </c>
      <c r="LY5" s="83"/>
      <c r="LZ5" s="83"/>
      <c r="MA5" s="83"/>
      <c r="MB5" s="83"/>
      <c r="MC5" s="83"/>
      <c r="MD5" s="83"/>
      <c r="ME5" s="83" t="str">
        <f>"KW"&amp;WEEKNUM(ME7,1)</f>
        <v>KW48</v>
      </c>
      <c r="MF5" s="83"/>
      <c r="MG5" s="83"/>
      <c r="MH5" s="83"/>
      <c r="MI5" s="83"/>
      <c r="MJ5" s="83"/>
      <c r="MK5" s="83"/>
      <c r="ML5" s="83" t="str">
        <f>"KW"&amp;WEEKNUM(ML7,1)</f>
        <v>KW49</v>
      </c>
      <c r="MM5" s="83"/>
      <c r="MN5" s="83"/>
      <c r="MO5" s="83"/>
      <c r="MP5" s="83"/>
      <c r="MQ5" s="83"/>
      <c r="MR5" s="83"/>
      <c r="MS5" s="83" t="str">
        <f>"KW"&amp;WEEKNUM(MS7,1)</f>
        <v>KW50</v>
      </c>
      <c r="MT5" s="83"/>
      <c r="MU5" s="83"/>
      <c r="MV5" s="83"/>
      <c r="MW5" s="83"/>
      <c r="MX5" s="83"/>
      <c r="MY5" s="83"/>
      <c r="MZ5" s="83" t="str">
        <f>"KW"&amp;WEEKNUM(MZ7,1)</f>
        <v>KW51</v>
      </c>
      <c r="NA5" s="83"/>
      <c r="NB5" s="83"/>
      <c r="NC5" s="83"/>
      <c r="ND5" s="83"/>
      <c r="NE5" s="83"/>
      <c r="NF5" s="83"/>
      <c r="NG5" s="83" t="str">
        <f>"KW"&amp;WEEKNUM(NG7,1)</f>
        <v>KW52</v>
      </c>
      <c r="NH5" s="83"/>
      <c r="NI5" s="83"/>
      <c r="NJ5" s="83"/>
      <c r="NK5" s="83"/>
      <c r="NL5" s="83"/>
      <c r="NM5" s="83"/>
      <c r="NN5" s="83" t="str">
        <f>"KW"&amp;WEEKNUM(NN7,1)</f>
        <v>KW53</v>
      </c>
      <c r="NO5" s="83"/>
      <c r="NP5" s="83"/>
      <c r="NQ5" s="83"/>
      <c r="NR5" s="83"/>
      <c r="NS5" s="83"/>
      <c r="NT5" s="83"/>
    </row>
    <row r="6" spans="1:384" ht="15" thickBot="1" x14ac:dyDescent="0.25">
      <c r="E6" s="85" t="s">
        <v>0</v>
      </c>
      <c r="F6" s="85"/>
      <c r="G6" s="85"/>
      <c r="H6" s="85" t="s">
        <v>1</v>
      </c>
      <c r="I6" s="85"/>
      <c r="J6" s="85"/>
      <c r="N6" s="84">
        <f>N7</f>
        <v>44557</v>
      </c>
      <c r="O6" s="84"/>
      <c r="P6" s="84"/>
      <c r="Q6" s="84"/>
      <c r="R6" s="84"/>
      <c r="S6" s="84"/>
      <c r="T6" s="84"/>
      <c r="U6" s="84">
        <f>U7</f>
        <v>44564</v>
      </c>
      <c r="V6" s="84"/>
      <c r="W6" s="84"/>
      <c r="X6" s="84"/>
      <c r="Y6" s="84"/>
      <c r="Z6" s="84"/>
      <c r="AA6" s="84"/>
      <c r="AB6" s="84">
        <f>AB7</f>
        <v>44571</v>
      </c>
      <c r="AC6" s="84"/>
      <c r="AD6" s="84"/>
      <c r="AE6" s="84"/>
      <c r="AF6" s="84"/>
      <c r="AG6" s="84"/>
      <c r="AH6" s="84"/>
      <c r="AI6" s="84">
        <f>AI7</f>
        <v>44578</v>
      </c>
      <c r="AJ6" s="84"/>
      <c r="AK6" s="84"/>
      <c r="AL6" s="84"/>
      <c r="AM6" s="84"/>
      <c r="AN6" s="84"/>
      <c r="AO6" s="84"/>
      <c r="AP6" s="84">
        <f>AP7</f>
        <v>44585</v>
      </c>
      <c r="AQ6" s="84"/>
      <c r="AR6" s="84"/>
      <c r="AS6" s="84"/>
      <c r="AT6" s="84"/>
      <c r="AU6" s="84"/>
      <c r="AV6" s="84"/>
      <c r="AW6" s="84">
        <f>AW7</f>
        <v>44592</v>
      </c>
      <c r="AX6" s="84"/>
      <c r="AY6" s="84"/>
      <c r="AZ6" s="84"/>
      <c r="BA6" s="84"/>
      <c r="BB6" s="84"/>
      <c r="BC6" s="84"/>
      <c r="BD6" s="84">
        <f>BD7</f>
        <v>44599</v>
      </c>
      <c r="BE6" s="84"/>
      <c r="BF6" s="84"/>
      <c r="BG6" s="84"/>
      <c r="BH6" s="84"/>
      <c r="BI6" s="84"/>
      <c r="BJ6" s="84"/>
      <c r="BK6" s="84">
        <f>BK7</f>
        <v>44606</v>
      </c>
      <c r="BL6" s="84"/>
      <c r="BM6" s="84"/>
      <c r="BN6" s="84"/>
      <c r="BO6" s="84"/>
      <c r="BP6" s="84"/>
      <c r="BQ6" s="84"/>
      <c r="BR6" s="84">
        <f>BR7</f>
        <v>44613</v>
      </c>
      <c r="BS6" s="84"/>
      <c r="BT6" s="84"/>
      <c r="BU6" s="84"/>
      <c r="BV6" s="84"/>
      <c r="BW6" s="84"/>
      <c r="BX6" s="84"/>
      <c r="BY6" s="84">
        <f>BY7</f>
        <v>44620</v>
      </c>
      <c r="BZ6" s="84"/>
      <c r="CA6" s="84"/>
      <c r="CB6" s="84"/>
      <c r="CC6" s="84"/>
      <c r="CD6" s="84"/>
      <c r="CE6" s="84"/>
      <c r="CF6" s="84">
        <f>CF7</f>
        <v>44627</v>
      </c>
      <c r="CG6" s="84"/>
      <c r="CH6" s="84"/>
      <c r="CI6" s="84"/>
      <c r="CJ6" s="84"/>
      <c r="CK6" s="84"/>
      <c r="CL6" s="84"/>
      <c r="CM6" s="84">
        <f>CM7</f>
        <v>44634</v>
      </c>
      <c r="CN6" s="84"/>
      <c r="CO6" s="84"/>
      <c r="CP6" s="84"/>
      <c r="CQ6" s="84"/>
      <c r="CR6" s="84"/>
      <c r="CS6" s="84"/>
      <c r="CT6" s="84">
        <f>CT7</f>
        <v>44641</v>
      </c>
      <c r="CU6" s="84"/>
      <c r="CV6" s="84"/>
      <c r="CW6" s="84"/>
      <c r="CX6" s="84"/>
      <c r="CY6" s="84"/>
      <c r="CZ6" s="84"/>
      <c r="DA6" s="84">
        <f>DA7</f>
        <v>44648</v>
      </c>
      <c r="DB6" s="84"/>
      <c r="DC6" s="84"/>
      <c r="DD6" s="84"/>
      <c r="DE6" s="84"/>
      <c r="DF6" s="84"/>
      <c r="DG6" s="84"/>
      <c r="DH6" s="84">
        <f>DH7</f>
        <v>44655</v>
      </c>
      <c r="DI6" s="84"/>
      <c r="DJ6" s="84"/>
      <c r="DK6" s="84"/>
      <c r="DL6" s="84"/>
      <c r="DM6" s="84"/>
      <c r="DN6" s="84"/>
      <c r="DO6" s="84">
        <f>DO7</f>
        <v>44662</v>
      </c>
      <c r="DP6" s="84"/>
      <c r="DQ6" s="84"/>
      <c r="DR6" s="84"/>
      <c r="DS6" s="84"/>
      <c r="DT6" s="84"/>
      <c r="DU6" s="84"/>
      <c r="DV6" s="84">
        <f>DV7</f>
        <v>44669</v>
      </c>
      <c r="DW6" s="84"/>
      <c r="DX6" s="84"/>
      <c r="DY6" s="84"/>
      <c r="DZ6" s="84"/>
      <c r="EA6" s="84"/>
      <c r="EB6" s="84"/>
      <c r="EC6" s="84">
        <f>EC7</f>
        <v>44676</v>
      </c>
      <c r="ED6" s="84"/>
      <c r="EE6" s="84"/>
      <c r="EF6" s="84"/>
      <c r="EG6" s="84"/>
      <c r="EH6" s="84"/>
      <c r="EI6" s="84"/>
      <c r="EJ6" s="84">
        <f>EJ7</f>
        <v>44683</v>
      </c>
      <c r="EK6" s="84"/>
      <c r="EL6" s="84"/>
      <c r="EM6" s="84"/>
      <c r="EN6" s="84"/>
      <c r="EO6" s="84"/>
      <c r="EP6" s="84"/>
      <c r="EQ6" s="84">
        <f>EQ7</f>
        <v>44690</v>
      </c>
      <c r="ER6" s="84"/>
      <c r="ES6" s="84"/>
      <c r="ET6" s="84"/>
      <c r="EU6" s="84"/>
      <c r="EV6" s="84"/>
      <c r="EW6" s="84"/>
      <c r="EX6" s="84">
        <f>EX7</f>
        <v>44697</v>
      </c>
      <c r="EY6" s="84"/>
      <c r="EZ6" s="84"/>
      <c r="FA6" s="84"/>
      <c r="FB6" s="84"/>
      <c r="FC6" s="84"/>
      <c r="FD6" s="84"/>
      <c r="FE6" s="84">
        <f>FE7</f>
        <v>44704</v>
      </c>
      <c r="FF6" s="84"/>
      <c r="FG6" s="84"/>
      <c r="FH6" s="84"/>
      <c r="FI6" s="84"/>
      <c r="FJ6" s="84"/>
      <c r="FK6" s="84"/>
      <c r="FL6" s="84">
        <f>FL7</f>
        <v>44711</v>
      </c>
      <c r="FM6" s="84"/>
      <c r="FN6" s="84"/>
      <c r="FO6" s="84"/>
      <c r="FP6" s="84"/>
      <c r="FQ6" s="84"/>
      <c r="FR6" s="84"/>
      <c r="FS6" s="84">
        <f>FS7</f>
        <v>44718</v>
      </c>
      <c r="FT6" s="84"/>
      <c r="FU6" s="84"/>
      <c r="FV6" s="84"/>
      <c r="FW6" s="84"/>
      <c r="FX6" s="84"/>
      <c r="FY6" s="84"/>
      <c r="FZ6" s="84">
        <f>FZ7</f>
        <v>44725</v>
      </c>
      <c r="GA6" s="84"/>
      <c r="GB6" s="84"/>
      <c r="GC6" s="84"/>
      <c r="GD6" s="84"/>
      <c r="GE6" s="84"/>
      <c r="GF6" s="84"/>
      <c r="GG6" s="84">
        <f>GG7</f>
        <v>44732</v>
      </c>
      <c r="GH6" s="84"/>
      <c r="GI6" s="84"/>
      <c r="GJ6" s="84"/>
      <c r="GK6" s="84"/>
      <c r="GL6" s="84"/>
      <c r="GM6" s="84"/>
      <c r="GN6" s="84">
        <f>GN7</f>
        <v>44739</v>
      </c>
      <c r="GO6" s="84"/>
      <c r="GP6" s="84"/>
      <c r="GQ6" s="84"/>
      <c r="GR6" s="84"/>
      <c r="GS6" s="84"/>
      <c r="GT6" s="84"/>
      <c r="GU6" s="84">
        <f>GU7</f>
        <v>44746</v>
      </c>
      <c r="GV6" s="84"/>
      <c r="GW6" s="84"/>
      <c r="GX6" s="84"/>
      <c r="GY6" s="84"/>
      <c r="GZ6" s="84"/>
      <c r="HA6" s="84"/>
      <c r="HB6" s="84">
        <f>HB7</f>
        <v>44753</v>
      </c>
      <c r="HC6" s="84"/>
      <c r="HD6" s="84"/>
      <c r="HE6" s="84"/>
      <c r="HF6" s="84"/>
      <c r="HG6" s="84"/>
      <c r="HH6" s="84"/>
      <c r="HI6" s="84">
        <f>HI7</f>
        <v>44760</v>
      </c>
      <c r="HJ6" s="84"/>
      <c r="HK6" s="84"/>
      <c r="HL6" s="84"/>
      <c r="HM6" s="84"/>
      <c r="HN6" s="84"/>
      <c r="HO6" s="84"/>
      <c r="HP6" s="84">
        <f>HP7</f>
        <v>44767</v>
      </c>
      <c r="HQ6" s="84"/>
      <c r="HR6" s="84"/>
      <c r="HS6" s="84"/>
      <c r="HT6" s="84"/>
      <c r="HU6" s="84"/>
      <c r="HV6" s="84"/>
      <c r="HW6" s="84">
        <f>HW7</f>
        <v>44774</v>
      </c>
      <c r="HX6" s="84"/>
      <c r="HY6" s="84"/>
      <c r="HZ6" s="84"/>
      <c r="IA6" s="84"/>
      <c r="IB6" s="84"/>
      <c r="IC6" s="84"/>
      <c r="ID6" s="84">
        <f>ID7</f>
        <v>44781</v>
      </c>
      <c r="IE6" s="84"/>
      <c r="IF6" s="84"/>
      <c r="IG6" s="84"/>
      <c r="IH6" s="84"/>
      <c r="II6" s="84"/>
      <c r="IJ6" s="84"/>
      <c r="IK6" s="84">
        <f>IK7</f>
        <v>44788</v>
      </c>
      <c r="IL6" s="84"/>
      <c r="IM6" s="84"/>
      <c r="IN6" s="84"/>
      <c r="IO6" s="84"/>
      <c r="IP6" s="84"/>
      <c r="IQ6" s="84"/>
      <c r="IR6" s="84">
        <f>IR7</f>
        <v>44795</v>
      </c>
      <c r="IS6" s="84"/>
      <c r="IT6" s="84"/>
      <c r="IU6" s="84"/>
      <c r="IV6" s="84"/>
      <c r="IW6" s="84"/>
      <c r="IX6" s="84"/>
      <c r="IY6" s="84">
        <f>IY7</f>
        <v>44802</v>
      </c>
      <c r="IZ6" s="84"/>
      <c r="JA6" s="84"/>
      <c r="JB6" s="84"/>
      <c r="JC6" s="84"/>
      <c r="JD6" s="84"/>
      <c r="JE6" s="84"/>
      <c r="JF6" s="84">
        <f>JF7</f>
        <v>44809</v>
      </c>
      <c r="JG6" s="84"/>
      <c r="JH6" s="84"/>
      <c r="JI6" s="84"/>
      <c r="JJ6" s="84"/>
      <c r="JK6" s="84"/>
      <c r="JL6" s="84"/>
      <c r="JM6" s="84">
        <f>JM7</f>
        <v>44816</v>
      </c>
      <c r="JN6" s="84"/>
      <c r="JO6" s="84"/>
      <c r="JP6" s="84"/>
      <c r="JQ6" s="84"/>
      <c r="JR6" s="84"/>
      <c r="JS6" s="84"/>
      <c r="JT6" s="84">
        <f>JT7</f>
        <v>44823</v>
      </c>
      <c r="JU6" s="84"/>
      <c r="JV6" s="84"/>
      <c r="JW6" s="84"/>
      <c r="JX6" s="84"/>
      <c r="JY6" s="84"/>
      <c r="JZ6" s="84"/>
      <c r="KA6" s="84">
        <f>KA7</f>
        <v>44830</v>
      </c>
      <c r="KB6" s="84"/>
      <c r="KC6" s="84"/>
      <c r="KD6" s="84"/>
      <c r="KE6" s="84"/>
      <c r="KF6" s="84"/>
      <c r="KG6" s="84"/>
      <c r="KH6" s="84">
        <f>KH7</f>
        <v>44837</v>
      </c>
      <c r="KI6" s="84"/>
      <c r="KJ6" s="84"/>
      <c r="KK6" s="84"/>
      <c r="KL6" s="84"/>
      <c r="KM6" s="84"/>
      <c r="KN6" s="84"/>
      <c r="KO6" s="84">
        <f>KO7</f>
        <v>44844</v>
      </c>
      <c r="KP6" s="84"/>
      <c r="KQ6" s="84"/>
      <c r="KR6" s="84"/>
      <c r="KS6" s="84"/>
      <c r="KT6" s="84"/>
      <c r="KU6" s="84"/>
      <c r="KV6" s="84">
        <f>KV7</f>
        <v>44851</v>
      </c>
      <c r="KW6" s="84"/>
      <c r="KX6" s="84"/>
      <c r="KY6" s="84"/>
      <c r="KZ6" s="84"/>
      <c r="LA6" s="84"/>
      <c r="LB6" s="84"/>
      <c r="LC6" s="84">
        <f>LC7</f>
        <v>44858</v>
      </c>
      <c r="LD6" s="84"/>
      <c r="LE6" s="84"/>
      <c r="LF6" s="84"/>
      <c r="LG6" s="84"/>
      <c r="LH6" s="84"/>
      <c r="LI6" s="84"/>
      <c r="LJ6" s="84">
        <f>LJ7</f>
        <v>44865</v>
      </c>
      <c r="LK6" s="84"/>
      <c r="LL6" s="84"/>
      <c r="LM6" s="84"/>
      <c r="LN6" s="84"/>
      <c r="LO6" s="84"/>
      <c r="LP6" s="84"/>
      <c r="LQ6" s="84">
        <f>LQ7</f>
        <v>44872</v>
      </c>
      <c r="LR6" s="84"/>
      <c r="LS6" s="84"/>
      <c r="LT6" s="84"/>
      <c r="LU6" s="84"/>
      <c r="LV6" s="84"/>
      <c r="LW6" s="84"/>
      <c r="LX6" s="84">
        <f>LX7</f>
        <v>44879</v>
      </c>
      <c r="LY6" s="84"/>
      <c r="LZ6" s="84"/>
      <c r="MA6" s="84"/>
      <c r="MB6" s="84"/>
      <c r="MC6" s="84"/>
      <c r="MD6" s="84"/>
      <c r="ME6" s="84">
        <f>ME7</f>
        <v>44886</v>
      </c>
      <c r="MF6" s="84"/>
      <c r="MG6" s="84"/>
      <c r="MH6" s="84"/>
      <c r="MI6" s="84"/>
      <c r="MJ6" s="84"/>
      <c r="MK6" s="84"/>
      <c r="ML6" s="84">
        <f>ML7</f>
        <v>44893</v>
      </c>
      <c r="MM6" s="84"/>
      <c r="MN6" s="84"/>
      <c r="MO6" s="84"/>
      <c r="MP6" s="84"/>
      <c r="MQ6" s="84"/>
      <c r="MR6" s="84"/>
      <c r="MS6" s="84">
        <f>MS7</f>
        <v>44900</v>
      </c>
      <c r="MT6" s="84"/>
      <c r="MU6" s="84"/>
      <c r="MV6" s="84"/>
      <c r="MW6" s="84"/>
      <c r="MX6" s="84"/>
      <c r="MY6" s="84"/>
      <c r="MZ6" s="84">
        <f>MZ7</f>
        <v>44907</v>
      </c>
      <c r="NA6" s="84"/>
      <c r="NB6" s="84"/>
      <c r="NC6" s="84"/>
      <c r="ND6" s="84"/>
      <c r="NE6" s="84"/>
      <c r="NF6" s="84"/>
      <c r="NG6" s="84">
        <f>NG7</f>
        <v>44914</v>
      </c>
      <c r="NH6" s="84"/>
      <c r="NI6" s="84"/>
      <c r="NJ6" s="84"/>
      <c r="NK6" s="84"/>
      <c r="NL6" s="84"/>
      <c r="NM6" s="84"/>
      <c r="NN6" s="84">
        <f>NN7</f>
        <v>44921</v>
      </c>
      <c r="NO6" s="84"/>
      <c r="NP6" s="84"/>
      <c r="NQ6" s="84"/>
      <c r="NR6" s="84"/>
      <c r="NS6" s="84"/>
      <c r="NT6" s="84"/>
    </row>
    <row r="7" spans="1:384" ht="15.75" thickBot="1" x14ac:dyDescent="0.3">
      <c r="B7" s="44" t="s">
        <v>24</v>
      </c>
      <c r="C7" s="33" t="s">
        <v>15</v>
      </c>
      <c r="D7" s="41" t="s">
        <v>2</v>
      </c>
      <c r="E7" s="34" t="s">
        <v>22</v>
      </c>
      <c r="F7" s="32" t="s">
        <v>21</v>
      </c>
      <c r="G7" s="34" t="s">
        <v>23</v>
      </c>
      <c r="H7" s="34" t="s">
        <v>31</v>
      </c>
      <c r="I7" s="32" t="s">
        <v>29</v>
      </c>
      <c r="J7" s="34" t="s">
        <v>30</v>
      </c>
      <c r="K7" s="32" t="s">
        <v>3</v>
      </c>
      <c r="L7" s="32" t="s">
        <v>4</v>
      </c>
      <c r="N7" s="67">
        <f>$D$4-WEEKDAY($D$4,3)</f>
        <v>44557</v>
      </c>
      <c r="O7" s="68">
        <f>N7+1</f>
        <v>44558</v>
      </c>
      <c r="P7" s="67">
        <f>O7+1</f>
        <v>44559</v>
      </c>
      <c r="Q7" s="68">
        <f t="shared" ref="Q7:U7" si="0">P7+1</f>
        <v>44560</v>
      </c>
      <c r="R7" s="69">
        <f t="shared" si="0"/>
        <v>44561</v>
      </c>
      <c r="S7" s="70">
        <f t="shared" si="0"/>
        <v>44562</v>
      </c>
      <c r="T7" s="70">
        <f t="shared" si="0"/>
        <v>44563</v>
      </c>
      <c r="U7" s="67">
        <f t="shared" si="0"/>
        <v>44564</v>
      </c>
      <c r="V7" s="68">
        <f t="shared" ref="V7" si="1">U7+1</f>
        <v>44565</v>
      </c>
      <c r="W7" s="67">
        <f t="shared" ref="W7" si="2">V7+1</f>
        <v>44566</v>
      </c>
      <c r="X7" s="68">
        <f t="shared" ref="X7" si="3">W7+1</f>
        <v>44567</v>
      </c>
      <c r="Y7" s="69">
        <f t="shared" ref="Y7" si="4">X7+1</f>
        <v>44568</v>
      </c>
      <c r="Z7" s="71">
        <f t="shared" ref="Z7:AA7" si="5">Y7+1</f>
        <v>44569</v>
      </c>
      <c r="AA7" s="71">
        <f t="shared" si="5"/>
        <v>44570</v>
      </c>
      <c r="AB7" s="67">
        <f t="shared" ref="AB7" si="6">AA7+1</f>
        <v>44571</v>
      </c>
      <c r="AC7" s="68">
        <f t="shared" ref="AC7" si="7">AB7+1</f>
        <v>44572</v>
      </c>
      <c r="AD7" s="67">
        <f t="shared" ref="AD7" si="8">AC7+1</f>
        <v>44573</v>
      </c>
      <c r="AE7" s="68">
        <f t="shared" ref="AE7" si="9">AD7+1</f>
        <v>44574</v>
      </c>
      <c r="AF7" s="69">
        <f t="shared" ref="AF7" si="10">AE7+1</f>
        <v>44575</v>
      </c>
      <c r="AG7" s="71">
        <f t="shared" ref="AG7" si="11">AF7+1</f>
        <v>44576</v>
      </c>
      <c r="AH7" s="71">
        <f t="shared" ref="AH7" si="12">AG7+1</f>
        <v>44577</v>
      </c>
      <c r="AI7" s="67">
        <f t="shared" ref="AI7" si="13">AH7+1</f>
        <v>44578</v>
      </c>
      <c r="AJ7" s="68">
        <f t="shared" ref="AJ7" si="14">AI7+1</f>
        <v>44579</v>
      </c>
      <c r="AK7" s="67">
        <f t="shared" ref="AK7" si="15">AJ7+1</f>
        <v>44580</v>
      </c>
      <c r="AL7" s="68">
        <f t="shared" ref="AL7" si="16">AK7+1</f>
        <v>44581</v>
      </c>
      <c r="AM7" s="69">
        <f t="shared" ref="AM7" si="17">AL7+1</f>
        <v>44582</v>
      </c>
      <c r="AN7" s="71">
        <f t="shared" ref="AN7" si="18">AM7+1</f>
        <v>44583</v>
      </c>
      <c r="AO7" s="71">
        <f t="shared" ref="AO7" si="19">AN7+1</f>
        <v>44584</v>
      </c>
      <c r="AP7" s="67">
        <f t="shared" ref="AP7" si="20">AO7+1</f>
        <v>44585</v>
      </c>
      <c r="AQ7" s="68">
        <f t="shared" ref="AQ7" si="21">AP7+1</f>
        <v>44586</v>
      </c>
      <c r="AR7" s="67">
        <f t="shared" ref="AR7" si="22">AQ7+1</f>
        <v>44587</v>
      </c>
      <c r="AS7" s="68">
        <f t="shared" ref="AS7" si="23">AR7+1</f>
        <v>44588</v>
      </c>
      <c r="AT7" s="69">
        <f t="shared" ref="AT7" si="24">AS7+1</f>
        <v>44589</v>
      </c>
      <c r="AU7" s="71">
        <f t="shared" ref="AU7" si="25">AT7+1</f>
        <v>44590</v>
      </c>
      <c r="AV7" s="71">
        <f t="shared" ref="AV7" si="26">AU7+1</f>
        <v>44591</v>
      </c>
      <c r="AW7" s="67">
        <f t="shared" ref="AW7" si="27">AV7+1</f>
        <v>44592</v>
      </c>
      <c r="AX7" s="68">
        <f t="shared" ref="AX7" si="28">AW7+1</f>
        <v>44593</v>
      </c>
      <c r="AY7" s="67">
        <f t="shared" ref="AY7" si="29">AX7+1</f>
        <v>44594</v>
      </c>
      <c r="AZ7" s="68">
        <f t="shared" ref="AZ7" si="30">AY7+1</f>
        <v>44595</v>
      </c>
      <c r="BA7" s="69">
        <f t="shared" ref="BA7" si="31">AZ7+1</f>
        <v>44596</v>
      </c>
      <c r="BB7" s="71">
        <f t="shared" ref="BB7" si="32">BA7+1</f>
        <v>44597</v>
      </c>
      <c r="BC7" s="71">
        <f t="shared" ref="BC7" si="33">BB7+1</f>
        <v>44598</v>
      </c>
      <c r="BD7" s="67">
        <f t="shared" ref="BD7" si="34">BC7+1</f>
        <v>44599</v>
      </c>
      <c r="BE7" s="68">
        <f t="shared" ref="BE7" si="35">BD7+1</f>
        <v>44600</v>
      </c>
      <c r="BF7" s="67">
        <f t="shared" ref="BF7" si="36">BE7+1</f>
        <v>44601</v>
      </c>
      <c r="BG7" s="68">
        <f t="shared" ref="BG7" si="37">BF7+1</f>
        <v>44602</v>
      </c>
      <c r="BH7" s="69">
        <f t="shared" ref="BH7" si="38">BG7+1</f>
        <v>44603</v>
      </c>
      <c r="BI7" s="71">
        <f t="shared" ref="BI7" si="39">BH7+1</f>
        <v>44604</v>
      </c>
      <c r="BJ7" s="71">
        <f t="shared" ref="BJ7" si="40">BI7+1</f>
        <v>44605</v>
      </c>
      <c r="BK7" s="67">
        <f t="shared" ref="BK7" si="41">BJ7+1</f>
        <v>44606</v>
      </c>
      <c r="BL7" s="68">
        <f t="shared" ref="BL7" si="42">BK7+1</f>
        <v>44607</v>
      </c>
      <c r="BM7" s="67">
        <f t="shared" ref="BM7" si="43">BL7+1</f>
        <v>44608</v>
      </c>
      <c r="BN7" s="68">
        <f t="shared" ref="BN7" si="44">BM7+1</f>
        <v>44609</v>
      </c>
      <c r="BO7" s="69">
        <f t="shared" ref="BO7" si="45">BN7+1</f>
        <v>44610</v>
      </c>
      <c r="BP7" s="71">
        <f t="shared" ref="BP7" si="46">BO7+1</f>
        <v>44611</v>
      </c>
      <c r="BQ7" s="71">
        <f t="shared" ref="BQ7" si="47">BP7+1</f>
        <v>44612</v>
      </c>
      <c r="BR7" s="67">
        <f t="shared" ref="BR7" si="48">BQ7+1</f>
        <v>44613</v>
      </c>
      <c r="BS7" s="68">
        <f t="shared" ref="BS7" si="49">BR7+1</f>
        <v>44614</v>
      </c>
      <c r="BT7" s="67">
        <f t="shared" ref="BT7" si="50">BS7+1</f>
        <v>44615</v>
      </c>
      <c r="BU7" s="68">
        <f t="shared" ref="BU7" si="51">BT7+1</f>
        <v>44616</v>
      </c>
      <c r="BV7" s="69">
        <f t="shared" ref="BV7" si="52">BU7+1</f>
        <v>44617</v>
      </c>
      <c r="BW7" s="71">
        <f t="shared" ref="BW7" si="53">BV7+1</f>
        <v>44618</v>
      </c>
      <c r="BX7" s="71">
        <f t="shared" ref="BX7" si="54">BW7+1</f>
        <v>44619</v>
      </c>
      <c r="BY7" s="67">
        <f t="shared" ref="BY7" si="55">BX7+1</f>
        <v>44620</v>
      </c>
      <c r="BZ7" s="68">
        <f t="shared" ref="BZ7" si="56">BY7+1</f>
        <v>44621</v>
      </c>
      <c r="CA7" s="67">
        <f t="shared" ref="CA7" si="57">BZ7+1</f>
        <v>44622</v>
      </c>
      <c r="CB7" s="68">
        <f t="shared" ref="CB7" si="58">CA7+1</f>
        <v>44623</v>
      </c>
      <c r="CC7" s="69">
        <f t="shared" ref="CC7" si="59">CB7+1</f>
        <v>44624</v>
      </c>
      <c r="CD7" s="71">
        <f t="shared" ref="CD7" si="60">CC7+1</f>
        <v>44625</v>
      </c>
      <c r="CE7" s="71">
        <f t="shared" ref="CE7" si="61">CD7+1</f>
        <v>44626</v>
      </c>
      <c r="CF7" s="67">
        <f t="shared" ref="CF7" si="62">CE7+1</f>
        <v>44627</v>
      </c>
      <c r="CG7" s="68">
        <f t="shared" ref="CG7" si="63">CF7+1</f>
        <v>44628</v>
      </c>
      <c r="CH7" s="67">
        <f t="shared" ref="CH7" si="64">CG7+1</f>
        <v>44629</v>
      </c>
      <c r="CI7" s="68">
        <f t="shared" ref="CI7" si="65">CH7+1</f>
        <v>44630</v>
      </c>
      <c r="CJ7" s="69">
        <f t="shared" ref="CJ7" si="66">CI7+1</f>
        <v>44631</v>
      </c>
      <c r="CK7" s="71">
        <f t="shared" ref="CK7" si="67">CJ7+1</f>
        <v>44632</v>
      </c>
      <c r="CL7" s="71">
        <f t="shared" ref="CL7" si="68">CK7+1</f>
        <v>44633</v>
      </c>
      <c r="CM7" s="67">
        <f t="shared" ref="CM7" si="69">CL7+1</f>
        <v>44634</v>
      </c>
      <c r="CN7" s="68">
        <f t="shared" ref="CN7" si="70">CM7+1</f>
        <v>44635</v>
      </c>
      <c r="CO7" s="67">
        <f t="shared" ref="CO7" si="71">CN7+1</f>
        <v>44636</v>
      </c>
      <c r="CP7" s="68">
        <f t="shared" ref="CP7" si="72">CO7+1</f>
        <v>44637</v>
      </c>
      <c r="CQ7" s="69">
        <f t="shared" ref="CQ7" si="73">CP7+1</f>
        <v>44638</v>
      </c>
      <c r="CR7" s="71">
        <f t="shared" ref="CR7" si="74">CQ7+1</f>
        <v>44639</v>
      </c>
      <c r="CS7" s="71">
        <f t="shared" ref="CS7" si="75">CR7+1</f>
        <v>44640</v>
      </c>
      <c r="CT7" s="67">
        <f t="shared" ref="CT7" si="76">CS7+1</f>
        <v>44641</v>
      </c>
      <c r="CU7" s="68">
        <f t="shared" ref="CU7" si="77">CT7+1</f>
        <v>44642</v>
      </c>
      <c r="CV7" s="67">
        <f t="shared" ref="CV7" si="78">CU7+1</f>
        <v>44643</v>
      </c>
      <c r="CW7" s="68">
        <f t="shared" ref="CW7" si="79">CV7+1</f>
        <v>44644</v>
      </c>
      <c r="CX7" s="69">
        <f t="shared" ref="CX7" si="80">CW7+1</f>
        <v>44645</v>
      </c>
      <c r="CY7" s="71">
        <f t="shared" ref="CY7" si="81">CX7+1</f>
        <v>44646</v>
      </c>
      <c r="CZ7" s="71">
        <f t="shared" ref="CZ7" si="82">CY7+1</f>
        <v>44647</v>
      </c>
      <c r="DA7" s="67">
        <f t="shared" ref="DA7" si="83">CZ7+1</f>
        <v>44648</v>
      </c>
      <c r="DB7" s="68">
        <f t="shared" ref="DB7" si="84">DA7+1</f>
        <v>44649</v>
      </c>
      <c r="DC7" s="67">
        <f t="shared" ref="DC7" si="85">DB7+1</f>
        <v>44650</v>
      </c>
      <c r="DD7" s="68">
        <f t="shared" ref="DD7" si="86">DC7+1</f>
        <v>44651</v>
      </c>
      <c r="DE7" s="69">
        <f t="shared" ref="DE7" si="87">DD7+1</f>
        <v>44652</v>
      </c>
      <c r="DF7" s="71">
        <f t="shared" ref="DF7" si="88">DE7+1</f>
        <v>44653</v>
      </c>
      <c r="DG7" s="71">
        <f t="shared" ref="DG7" si="89">DF7+1</f>
        <v>44654</v>
      </c>
      <c r="DH7" s="67">
        <f t="shared" ref="DH7" si="90">DG7+1</f>
        <v>44655</v>
      </c>
      <c r="DI7" s="68">
        <f t="shared" ref="DI7" si="91">DH7+1</f>
        <v>44656</v>
      </c>
      <c r="DJ7" s="67">
        <f t="shared" ref="DJ7" si="92">DI7+1</f>
        <v>44657</v>
      </c>
      <c r="DK7" s="68">
        <f t="shared" ref="DK7" si="93">DJ7+1</f>
        <v>44658</v>
      </c>
      <c r="DL7" s="69">
        <f t="shared" ref="DL7" si="94">DK7+1</f>
        <v>44659</v>
      </c>
      <c r="DM7" s="71">
        <f t="shared" ref="DM7" si="95">DL7+1</f>
        <v>44660</v>
      </c>
      <c r="DN7" s="71">
        <f t="shared" ref="DN7" si="96">DM7+1</f>
        <v>44661</v>
      </c>
      <c r="DO7" s="67">
        <f t="shared" ref="DO7" si="97">DN7+1</f>
        <v>44662</v>
      </c>
      <c r="DP7" s="68">
        <f t="shared" ref="DP7" si="98">DO7+1</f>
        <v>44663</v>
      </c>
      <c r="DQ7" s="67">
        <f t="shared" ref="DQ7" si="99">DP7+1</f>
        <v>44664</v>
      </c>
      <c r="DR7" s="68">
        <f t="shared" ref="DR7" si="100">DQ7+1</f>
        <v>44665</v>
      </c>
      <c r="DS7" s="69">
        <f t="shared" ref="DS7" si="101">DR7+1</f>
        <v>44666</v>
      </c>
      <c r="DT7" s="71">
        <f t="shared" ref="DT7" si="102">DS7+1</f>
        <v>44667</v>
      </c>
      <c r="DU7" s="71">
        <f t="shared" ref="DU7" si="103">DT7+1</f>
        <v>44668</v>
      </c>
      <c r="DV7" s="67">
        <f t="shared" ref="DV7" si="104">DU7+1</f>
        <v>44669</v>
      </c>
      <c r="DW7" s="68">
        <f t="shared" ref="DW7" si="105">DV7+1</f>
        <v>44670</v>
      </c>
      <c r="DX7" s="67">
        <f t="shared" ref="DX7" si="106">DW7+1</f>
        <v>44671</v>
      </c>
      <c r="DY7" s="68">
        <f t="shared" ref="DY7" si="107">DX7+1</f>
        <v>44672</v>
      </c>
      <c r="DZ7" s="69">
        <f t="shared" ref="DZ7" si="108">DY7+1</f>
        <v>44673</v>
      </c>
      <c r="EA7" s="71">
        <f t="shared" ref="EA7" si="109">DZ7+1</f>
        <v>44674</v>
      </c>
      <c r="EB7" s="71">
        <f t="shared" ref="EB7" si="110">EA7+1</f>
        <v>44675</v>
      </c>
      <c r="EC7" s="67">
        <f t="shared" ref="EC7" si="111">EB7+1</f>
        <v>44676</v>
      </c>
      <c r="ED7" s="68">
        <f t="shared" ref="ED7" si="112">EC7+1</f>
        <v>44677</v>
      </c>
      <c r="EE7" s="67">
        <f t="shared" ref="EE7" si="113">ED7+1</f>
        <v>44678</v>
      </c>
      <c r="EF7" s="68">
        <f t="shared" ref="EF7" si="114">EE7+1</f>
        <v>44679</v>
      </c>
      <c r="EG7" s="69">
        <f t="shared" ref="EG7" si="115">EF7+1</f>
        <v>44680</v>
      </c>
      <c r="EH7" s="71">
        <f t="shared" ref="EH7" si="116">EG7+1</f>
        <v>44681</v>
      </c>
      <c r="EI7" s="71">
        <f t="shared" ref="EI7" si="117">EH7+1</f>
        <v>44682</v>
      </c>
      <c r="EJ7" s="67">
        <f t="shared" ref="EJ7" si="118">EI7+1</f>
        <v>44683</v>
      </c>
      <c r="EK7" s="68">
        <f t="shared" ref="EK7" si="119">EJ7+1</f>
        <v>44684</v>
      </c>
      <c r="EL7" s="67">
        <f t="shared" ref="EL7" si="120">EK7+1</f>
        <v>44685</v>
      </c>
      <c r="EM7" s="68">
        <f t="shared" ref="EM7" si="121">EL7+1</f>
        <v>44686</v>
      </c>
      <c r="EN7" s="69">
        <f t="shared" ref="EN7" si="122">EM7+1</f>
        <v>44687</v>
      </c>
      <c r="EO7" s="71">
        <f t="shared" ref="EO7" si="123">EN7+1</f>
        <v>44688</v>
      </c>
      <c r="EP7" s="71">
        <f t="shared" ref="EP7" si="124">EO7+1</f>
        <v>44689</v>
      </c>
      <c r="EQ7" s="67">
        <f t="shared" ref="EQ7" si="125">EP7+1</f>
        <v>44690</v>
      </c>
      <c r="ER7" s="68">
        <f t="shared" ref="ER7" si="126">EQ7+1</f>
        <v>44691</v>
      </c>
      <c r="ES7" s="67">
        <f t="shared" ref="ES7" si="127">ER7+1</f>
        <v>44692</v>
      </c>
      <c r="ET7" s="68">
        <f t="shared" ref="ET7" si="128">ES7+1</f>
        <v>44693</v>
      </c>
      <c r="EU7" s="69">
        <f t="shared" ref="EU7" si="129">ET7+1</f>
        <v>44694</v>
      </c>
      <c r="EV7" s="71">
        <f t="shared" ref="EV7" si="130">EU7+1</f>
        <v>44695</v>
      </c>
      <c r="EW7" s="71">
        <f t="shared" ref="EW7" si="131">EV7+1</f>
        <v>44696</v>
      </c>
      <c r="EX7" s="67">
        <f t="shared" ref="EX7" si="132">EW7+1</f>
        <v>44697</v>
      </c>
      <c r="EY7" s="68">
        <f t="shared" ref="EY7" si="133">EX7+1</f>
        <v>44698</v>
      </c>
      <c r="EZ7" s="67">
        <f t="shared" ref="EZ7" si="134">EY7+1</f>
        <v>44699</v>
      </c>
      <c r="FA7" s="68">
        <f t="shared" ref="FA7" si="135">EZ7+1</f>
        <v>44700</v>
      </c>
      <c r="FB7" s="69">
        <f t="shared" ref="FB7" si="136">FA7+1</f>
        <v>44701</v>
      </c>
      <c r="FC7" s="71">
        <f t="shared" ref="FC7" si="137">FB7+1</f>
        <v>44702</v>
      </c>
      <c r="FD7" s="71">
        <f t="shared" ref="FD7" si="138">FC7+1</f>
        <v>44703</v>
      </c>
      <c r="FE7" s="67">
        <f t="shared" ref="FE7" si="139">FD7+1</f>
        <v>44704</v>
      </c>
      <c r="FF7" s="68">
        <f t="shared" ref="FF7" si="140">FE7+1</f>
        <v>44705</v>
      </c>
      <c r="FG7" s="67">
        <f t="shared" ref="FG7" si="141">FF7+1</f>
        <v>44706</v>
      </c>
      <c r="FH7" s="68">
        <f t="shared" ref="FH7" si="142">FG7+1</f>
        <v>44707</v>
      </c>
      <c r="FI7" s="69">
        <f t="shared" ref="FI7" si="143">FH7+1</f>
        <v>44708</v>
      </c>
      <c r="FJ7" s="71">
        <f t="shared" ref="FJ7" si="144">FI7+1</f>
        <v>44709</v>
      </c>
      <c r="FK7" s="71">
        <f t="shared" ref="FK7" si="145">FJ7+1</f>
        <v>44710</v>
      </c>
      <c r="FL7" s="67">
        <f t="shared" ref="FL7" si="146">FK7+1</f>
        <v>44711</v>
      </c>
      <c r="FM7" s="68">
        <f t="shared" ref="FM7" si="147">FL7+1</f>
        <v>44712</v>
      </c>
      <c r="FN7" s="67">
        <f t="shared" ref="FN7" si="148">FM7+1</f>
        <v>44713</v>
      </c>
      <c r="FO7" s="68">
        <f t="shared" ref="FO7" si="149">FN7+1</f>
        <v>44714</v>
      </c>
      <c r="FP7" s="69">
        <f t="shared" ref="FP7" si="150">FO7+1</f>
        <v>44715</v>
      </c>
      <c r="FQ7" s="71">
        <f t="shared" ref="FQ7" si="151">FP7+1</f>
        <v>44716</v>
      </c>
      <c r="FR7" s="71">
        <f t="shared" ref="FR7" si="152">FQ7+1</f>
        <v>44717</v>
      </c>
      <c r="FS7" s="67">
        <f t="shared" ref="FS7" si="153">FR7+1</f>
        <v>44718</v>
      </c>
      <c r="FT7" s="68">
        <f t="shared" ref="FT7" si="154">FS7+1</f>
        <v>44719</v>
      </c>
      <c r="FU7" s="67">
        <f t="shared" ref="FU7" si="155">FT7+1</f>
        <v>44720</v>
      </c>
      <c r="FV7" s="68">
        <f t="shared" ref="FV7" si="156">FU7+1</f>
        <v>44721</v>
      </c>
      <c r="FW7" s="69">
        <f t="shared" ref="FW7" si="157">FV7+1</f>
        <v>44722</v>
      </c>
      <c r="FX7" s="71">
        <f t="shared" ref="FX7" si="158">FW7+1</f>
        <v>44723</v>
      </c>
      <c r="FY7" s="71">
        <f t="shared" ref="FY7" si="159">FX7+1</f>
        <v>44724</v>
      </c>
      <c r="FZ7" s="67">
        <f t="shared" ref="FZ7" si="160">FY7+1</f>
        <v>44725</v>
      </c>
      <c r="GA7" s="68">
        <f t="shared" ref="GA7" si="161">FZ7+1</f>
        <v>44726</v>
      </c>
      <c r="GB7" s="67">
        <f t="shared" ref="GB7" si="162">GA7+1</f>
        <v>44727</v>
      </c>
      <c r="GC7" s="68">
        <f t="shared" ref="GC7" si="163">GB7+1</f>
        <v>44728</v>
      </c>
      <c r="GD7" s="69">
        <f t="shared" ref="GD7" si="164">GC7+1</f>
        <v>44729</v>
      </c>
      <c r="GE7" s="71">
        <f t="shared" ref="GE7" si="165">GD7+1</f>
        <v>44730</v>
      </c>
      <c r="GF7" s="71">
        <f t="shared" ref="GF7" si="166">GE7+1</f>
        <v>44731</v>
      </c>
      <c r="GG7" s="67">
        <f t="shared" ref="GG7" si="167">GF7+1</f>
        <v>44732</v>
      </c>
      <c r="GH7" s="68">
        <f t="shared" ref="GH7" si="168">GG7+1</f>
        <v>44733</v>
      </c>
      <c r="GI7" s="67">
        <f t="shared" ref="GI7" si="169">GH7+1</f>
        <v>44734</v>
      </c>
      <c r="GJ7" s="68">
        <f t="shared" ref="GJ7" si="170">GI7+1</f>
        <v>44735</v>
      </c>
      <c r="GK7" s="69">
        <f t="shared" ref="GK7" si="171">GJ7+1</f>
        <v>44736</v>
      </c>
      <c r="GL7" s="71">
        <f t="shared" ref="GL7" si="172">GK7+1</f>
        <v>44737</v>
      </c>
      <c r="GM7" s="71">
        <f t="shared" ref="GM7" si="173">GL7+1</f>
        <v>44738</v>
      </c>
      <c r="GN7" s="67">
        <f t="shared" ref="GN7" si="174">GM7+1</f>
        <v>44739</v>
      </c>
      <c r="GO7" s="68">
        <f t="shared" ref="GO7" si="175">GN7+1</f>
        <v>44740</v>
      </c>
      <c r="GP7" s="67">
        <f t="shared" ref="GP7" si="176">GO7+1</f>
        <v>44741</v>
      </c>
      <c r="GQ7" s="68">
        <f t="shared" ref="GQ7" si="177">GP7+1</f>
        <v>44742</v>
      </c>
      <c r="GR7" s="69">
        <f t="shared" ref="GR7" si="178">GQ7+1</f>
        <v>44743</v>
      </c>
      <c r="GS7" s="71">
        <f t="shared" ref="GS7" si="179">GR7+1</f>
        <v>44744</v>
      </c>
      <c r="GT7" s="71">
        <f t="shared" ref="GT7" si="180">GS7+1</f>
        <v>44745</v>
      </c>
      <c r="GU7" s="67">
        <f t="shared" ref="GU7" si="181">GT7+1</f>
        <v>44746</v>
      </c>
      <c r="GV7" s="68">
        <f t="shared" ref="GV7" si="182">GU7+1</f>
        <v>44747</v>
      </c>
      <c r="GW7" s="67">
        <f t="shared" ref="GW7" si="183">GV7+1</f>
        <v>44748</v>
      </c>
      <c r="GX7" s="68">
        <f t="shared" ref="GX7" si="184">GW7+1</f>
        <v>44749</v>
      </c>
      <c r="GY7" s="69">
        <f t="shared" ref="GY7" si="185">GX7+1</f>
        <v>44750</v>
      </c>
      <c r="GZ7" s="71">
        <f t="shared" ref="GZ7" si="186">GY7+1</f>
        <v>44751</v>
      </c>
      <c r="HA7" s="71">
        <f t="shared" ref="HA7" si="187">GZ7+1</f>
        <v>44752</v>
      </c>
      <c r="HB7" s="67">
        <f t="shared" ref="HB7" si="188">HA7+1</f>
        <v>44753</v>
      </c>
      <c r="HC7" s="68">
        <f t="shared" ref="HC7" si="189">HB7+1</f>
        <v>44754</v>
      </c>
      <c r="HD7" s="67">
        <f t="shared" ref="HD7" si="190">HC7+1</f>
        <v>44755</v>
      </c>
      <c r="HE7" s="68">
        <f t="shared" ref="HE7" si="191">HD7+1</f>
        <v>44756</v>
      </c>
      <c r="HF7" s="69">
        <f t="shared" ref="HF7" si="192">HE7+1</f>
        <v>44757</v>
      </c>
      <c r="HG7" s="71">
        <f t="shared" ref="HG7" si="193">HF7+1</f>
        <v>44758</v>
      </c>
      <c r="HH7" s="71">
        <f t="shared" ref="HH7" si="194">HG7+1</f>
        <v>44759</v>
      </c>
      <c r="HI7" s="67">
        <f t="shared" ref="HI7" si="195">HH7+1</f>
        <v>44760</v>
      </c>
      <c r="HJ7" s="68">
        <f t="shared" ref="HJ7" si="196">HI7+1</f>
        <v>44761</v>
      </c>
      <c r="HK7" s="67">
        <f t="shared" ref="HK7" si="197">HJ7+1</f>
        <v>44762</v>
      </c>
      <c r="HL7" s="68">
        <f t="shared" ref="HL7" si="198">HK7+1</f>
        <v>44763</v>
      </c>
      <c r="HM7" s="69">
        <f t="shared" ref="HM7" si="199">HL7+1</f>
        <v>44764</v>
      </c>
      <c r="HN7" s="71">
        <f t="shared" ref="HN7" si="200">HM7+1</f>
        <v>44765</v>
      </c>
      <c r="HO7" s="71">
        <f t="shared" ref="HO7" si="201">HN7+1</f>
        <v>44766</v>
      </c>
      <c r="HP7" s="67">
        <f t="shared" ref="HP7" si="202">HO7+1</f>
        <v>44767</v>
      </c>
      <c r="HQ7" s="68">
        <f t="shared" ref="HQ7" si="203">HP7+1</f>
        <v>44768</v>
      </c>
      <c r="HR7" s="67">
        <f t="shared" ref="HR7" si="204">HQ7+1</f>
        <v>44769</v>
      </c>
      <c r="HS7" s="68">
        <f t="shared" ref="HS7" si="205">HR7+1</f>
        <v>44770</v>
      </c>
      <c r="HT7" s="69">
        <f t="shared" ref="HT7" si="206">HS7+1</f>
        <v>44771</v>
      </c>
      <c r="HU7" s="71">
        <f t="shared" ref="HU7" si="207">HT7+1</f>
        <v>44772</v>
      </c>
      <c r="HV7" s="71">
        <f t="shared" ref="HV7" si="208">HU7+1</f>
        <v>44773</v>
      </c>
      <c r="HW7" s="67">
        <f t="shared" ref="HW7" si="209">HV7+1</f>
        <v>44774</v>
      </c>
      <c r="HX7" s="68">
        <f t="shared" ref="HX7" si="210">HW7+1</f>
        <v>44775</v>
      </c>
      <c r="HY7" s="67">
        <f t="shared" ref="HY7" si="211">HX7+1</f>
        <v>44776</v>
      </c>
      <c r="HZ7" s="68">
        <f t="shared" ref="HZ7" si="212">HY7+1</f>
        <v>44777</v>
      </c>
      <c r="IA7" s="69">
        <f t="shared" ref="IA7" si="213">HZ7+1</f>
        <v>44778</v>
      </c>
      <c r="IB7" s="71">
        <f t="shared" ref="IB7" si="214">IA7+1</f>
        <v>44779</v>
      </c>
      <c r="IC7" s="71">
        <f t="shared" ref="IC7" si="215">IB7+1</f>
        <v>44780</v>
      </c>
      <c r="ID7" s="67">
        <f t="shared" ref="ID7" si="216">IC7+1</f>
        <v>44781</v>
      </c>
      <c r="IE7" s="68">
        <f t="shared" ref="IE7" si="217">ID7+1</f>
        <v>44782</v>
      </c>
      <c r="IF7" s="67">
        <f t="shared" ref="IF7" si="218">IE7+1</f>
        <v>44783</v>
      </c>
      <c r="IG7" s="68">
        <f t="shared" ref="IG7" si="219">IF7+1</f>
        <v>44784</v>
      </c>
      <c r="IH7" s="69">
        <f t="shared" ref="IH7" si="220">IG7+1</f>
        <v>44785</v>
      </c>
      <c r="II7" s="71">
        <f t="shared" ref="II7" si="221">IH7+1</f>
        <v>44786</v>
      </c>
      <c r="IJ7" s="71">
        <f t="shared" ref="IJ7" si="222">II7+1</f>
        <v>44787</v>
      </c>
      <c r="IK7" s="67">
        <f t="shared" ref="IK7" si="223">IJ7+1</f>
        <v>44788</v>
      </c>
      <c r="IL7" s="68">
        <f t="shared" ref="IL7" si="224">IK7+1</f>
        <v>44789</v>
      </c>
      <c r="IM7" s="67">
        <f t="shared" ref="IM7" si="225">IL7+1</f>
        <v>44790</v>
      </c>
      <c r="IN7" s="68">
        <f t="shared" ref="IN7" si="226">IM7+1</f>
        <v>44791</v>
      </c>
      <c r="IO7" s="69">
        <f t="shared" ref="IO7" si="227">IN7+1</f>
        <v>44792</v>
      </c>
      <c r="IP7" s="71">
        <f t="shared" ref="IP7" si="228">IO7+1</f>
        <v>44793</v>
      </c>
      <c r="IQ7" s="71">
        <f t="shared" ref="IQ7" si="229">IP7+1</f>
        <v>44794</v>
      </c>
      <c r="IR7" s="67">
        <f t="shared" ref="IR7" si="230">IQ7+1</f>
        <v>44795</v>
      </c>
      <c r="IS7" s="68">
        <f t="shared" ref="IS7" si="231">IR7+1</f>
        <v>44796</v>
      </c>
      <c r="IT7" s="67">
        <f t="shared" ref="IT7" si="232">IS7+1</f>
        <v>44797</v>
      </c>
      <c r="IU7" s="68">
        <f t="shared" ref="IU7" si="233">IT7+1</f>
        <v>44798</v>
      </c>
      <c r="IV7" s="69">
        <f t="shared" ref="IV7" si="234">IU7+1</f>
        <v>44799</v>
      </c>
      <c r="IW7" s="71">
        <f t="shared" ref="IW7" si="235">IV7+1</f>
        <v>44800</v>
      </c>
      <c r="IX7" s="71">
        <f t="shared" ref="IX7" si="236">IW7+1</f>
        <v>44801</v>
      </c>
      <c r="IY7" s="67">
        <f t="shared" ref="IY7" si="237">IX7+1</f>
        <v>44802</v>
      </c>
      <c r="IZ7" s="68">
        <f t="shared" ref="IZ7" si="238">IY7+1</f>
        <v>44803</v>
      </c>
      <c r="JA7" s="67">
        <f t="shared" ref="JA7" si="239">IZ7+1</f>
        <v>44804</v>
      </c>
      <c r="JB7" s="68">
        <f t="shared" ref="JB7" si="240">JA7+1</f>
        <v>44805</v>
      </c>
      <c r="JC7" s="69">
        <f t="shared" ref="JC7" si="241">JB7+1</f>
        <v>44806</v>
      </c>
      <c r="JD7" s="71">
        <f t="shared" ref="JD7" si="242">JC7+1</f>
        <v>44807</v>
      </c>
      <c r="JE7" s="71">
        <f t="shared" ref="JE7" si="243">JD7+1</f>
        <v>44808</v>
      </c>
      <c r="JF7" s="67">
        <f t="shared" ref="JF7" si="244">JE7+1</f>
        <v>44809</v>
      </c>
      <c r="JG7" s="68">
        <f t="shared" ref="JG7" si="245">JF7+1</f>
        <v>44810</v>
      </c>
      <c r="JH7" s="67">
        <f t="shared" ref="JH7" si="246">JG7+1</f>
        <v>44811</v>
      </c>
      <c r="JI7" s="68">
        <f t="shared" ref="JI7" si="247">JH7+1</f>
        <v>44812</v>
      </c>
      <c r="JJ7" s="69">
        <f t="shared" ref="JJ7" si="248">JI7+1</f>
        <v>44813</v>
      </c>
      <c r="JK7" s="71">
        <f t="shared" ref="JK7" si="249">JJ7+1</f>
        <v>44814</v>
      </c>
      <c r="JL7" s="71">
        <f t="shared" ref="JL7" si="250">JK7+1</f>
        <v>44815</v>
      </c>
      <c r="JM7" s="67">
        <f t="shared" ref="JM7" si="251">JL7+1</f>
        <v>44816</v>
      </c>
      <c r="JN7" s="68">
        <f t="shared" ref="JN7" si="252">JM7+1</f>
        <v>44817</v>
      </c>
      <c r="JO7" s="67">
        <f t="shared" ref="JO7" si="253">JN7+1</f>
        <v>44818</v>
      </c>
      <c r="JP7" s="68">
        <f t="shared" ref="JP7" si="254">JO7+1</f>
        <v>44819</v>
      </c>
      <c r="JQ7" s="69">
        <f t="shared" ref="JQ7" si="255">JP7+1</f>
        <v>44820</v>
      </c>
      <c r="JR7" s="71">
        <f t="shared" ref="JR7" si="256">JQ7+1</f>
        <v>44821</v>
      </c>
      <c r="JS7" s="71">
        <f t="shared" ref="JS7" si="257">JR7+1</f>
        <v>44822</v>
      </c>
      <c r="JT7" s="67">
        <f t="shared" ref="JT7" si="258">JS7+1</f>
        <v>44823</v>
      </c>
      <c r="JU7" s="68">
        <f t="shared" ref="JU7" si="259">JT7+1</f>
        <v>44824</v>
      </c>
      <c r="JV7" s="67">
        <f t="shared" ref="JV7" si="260">JU7+1</f>
        <v>44825</v>
      </c>
      <c r="JW7" s="68">
        <f t="shared" ref="JW7" si="261">JV7+1</f>
        <v>44826</v>
      </c>
      <c r="JX7" s="69">
        <f t="shared" ref="JX7" si="262">JW7+1</f>
        <v>44827</v>
      </c>
      <c r="JY7" s="71">
        <f t="shared" ref="JY7" si="263">JX7+1</f>
        <v>44828</v>
      </c>
      <c r="JZ7" s="71">
        <f t="shared" ref="JZ7" si="264">JY7+1</f>
        <v>44829</v>
      </c>
      <c r="KA7" s="67">
        <f t="shared" ref="KA7" si="265">JZ7+1</f>
        <v>44830</v>
      </c>
      <c r="KB7" s="68">
        <f t="shared" ref="KB7" si="266">KA7+1</f>
        <v>44831</v>
      </c>
      <c r="KC7" s="67">
        <f t="shared" ref="KC7" si="267">KB7+1</f>
        <v>44832</v>
      </c>
      <c r="KD7" s="68">
        <f t="shared" ref="KD7" si="268">KC7+1</f>
        <v>44833</v>
      </c>
      <c r="KE7" s="69">
        <f t="shared" ref="KE7" si="269">KD7+1</f>
        <v>44834</v>
      </c>
      <c r="KF7" s="71">
        <f t="shared" ref="KF7" si="270">KE7+1</f>
        <v>44835</v>
      </c>
      <c r="KG7" s="71">
        <f t="shared" ref="KG7" si="271">KF7+1</f>
        <v>44836</v>
      </c>
      <c r="KH7" s="67">
        <f t="shared" ref="KH7" si="272">KG7+1</f>
        <v>44837</v>
      </c>
      <c r="KI7" s="68">
        <f t="shared" ref="KI7" si="273">KH7+1</f>
        <v>44838</v>
      </c>
      <c r="KJ7" s="67">
        <f t="shared" ref="KJ7" si="274">KI7+1</f>
        <v>44839</v>
      </c>
      <c r="KK7" s="68">
        <f t="shared" ref="KK7" si="275">KJ7+1</f>
        <v>44840</v>
      </c>
      <c r="KL7" s="69">
        <f t="shared" ref="KL7" si="276">KK7+1</f>
        <v>44841</v>
      </c>
      <c r="KM7" s="71">
        <f t="shared" ref="KM7" si="277">KL7+1</f>
        <v>44842</v>
      </c>
      <c r="KN7" s="71">
        <f t="shared" ref="KN7" si="278">KM7+1</f>
        <v>44843</v>
      </c>
      <c r="KO7" s="67">
        <f t="shared" ref="KO7" si="279">KN7+1</f>
        <v>44844</v>
      </c>
      <c r="KP7" s="68">
        <f t="shared" ref="KP7" si="280">KO7+1</f>
        <v>44845</v>
      </c>
      <c r="KQ7" s="67">
        <f t="shared" ref="KQ7" si="281">KP7+1</f>
        <v>44846</v>
      </c>
      <c r="KR7" s="68">
        <f t="shared" ref="KR7" si="282">KQ7+1</f>
        <v>44847</v>
      </c>
      <c r="KS7" s="69">
        <f t="shared" ref="KS7" si="283">KR7+1</f>
        <v>44848</v>
      </c>
      <c r="KT7" s="71">
        <f t="shared" ref="KT7" si="284">KS7+1</f>
        <v>44849</v>
      </c>
      <c r="KU7" s="71">
        <f t="shared" ref="KU7" si="285">KT7+1</f>
        <v>44850</v>
      </c>
      <c r="KV7" s="67">
        <f t="shared" ref="KV7" si="286">KU7+1</f>
        <v>44851</v>
      </c>
      <c r="KW7" s="68">
        <f t="shared" ref="KW7" si="287">KV7+1</f>
        <v>44852</v>
      </c>
      <c r="KX7" s="67">
        <f t="shared" ref="KX7" si="288">KW7+1</f>
        <v>44853</v>
      </c>
      <c r="KY7" s="68">
        <f t="shared" ref="KY7" si="289">KX7+1</f>
        <v>44854</v>
      </c>
      <c r="KZ7" s="69">
        <f t="shared" ref="KZ7" si="290">KY7+1</f>
        <v>44855</v>
      </c>
      <c r="LA7" s="71">
        <f t="shared" ref="LA7" si="291">KZ7+1</f>
        <v>44856</v>
      </c>
      <c r="LB7" s="71">
        <f t="shared" ref="LB7" si="292">LA7+1</f>
        <v>44857</v>
      </c>
      <c r="LC7" s="67">
        <f t="shared" ref="LC7" si="293">LB7+1</f>
        <v>44858</v>
      </c>
      <c r="LD7" s="68">
        <f t="shared" ref="LD7" si="294">LC7+1</f>
        <v>44859</v>
      </c>
      <c r="LE7" s="67">
        <f t="shared" ref="LE7" si="295">LD7+1</f>
        <v>44860</v>
      </c>
      <c r="LF7" s="68">
        <f t="shared" ref="LF7" si="296">LE7+1</f>
        <v>44861</v>
      </c>
      <c r="LG7" s="69">
        <f t="shared" ref="LG7" si="297">LF7+1</f>
        <v>44862</v>
      </c>
      <c r="LH7" s="71">
        <f t="shared" ref="LH7" si="298">LG7+1</f>
        <v>44863</v>
      </c>
      <c r="LI7" s="71">
        <f t="shared" ref="LI7" si="299">LH7+1</f>
        <v>44864</v>
      </c>
      <c r="LJ7" s="67">
        <f t="shared" ref="LJ7" si="300">LI7+1</f>
        <v>44865</v>
      </c>
      <c r="LK7" s="68">
        <f t="shared" ref="LK7" si="301">LJ7+1</f>
        <v>44866</v>
      </c>
      <c r="LL7" s="67">
        <f t="shared" ref="LL7" si="302">LK7+1</f>
        <v>44867</v>
      </c>
      <c r="LM7" s="68">
        <f t="shared" ref="LM7" si="303">LL7+1</f>
        <v>44868</v>
      </c>
      <c r="LN7" s="69">
        <f t="shared" ref="LN7" si="304">LM7+1</f>
        <v>44869</v>
      </c>
      <c r="LO7" s="71">
        <f t="shared" ref="LO7" si="305">LN7+1</f>
        <v>44870</v>
      </c>
      <c r="LP7" s="71">
        <f t="shared" ref="LP7" si="306">LO7+1</f>
        <v>44871</v>
      </c>
      <c r="LQ7" s="67">
        <f t="shared" ref="LQ7" si="307">LP7+1</f>
        <v>44872</v>
      </c>
      <c r="LR7" s="68">
        <f t="shared" ref="LR7" si="308">LQ7+1</f>
        <v>44873</v>
      </c>
      <c r="LS7" s="67">
        <f t="shared" ref="LS7" si="309">LR7+1</f>
        <v>44874</v>
      </c>
      <c r="LT7" s="68">
        <f t="shared" ref="LT7" si="310">LS7+1</f>
        <v>44875</v>
      </c>
      <c r="LU7" s="69">
        <f t="shared" ref="LU7" si="311">LT7+1</f>
        <v>44876</v>
      </c>
      <c r="LV7" s="71">
        <f t="shared" ref="LV7" si="312">LU7+1</f>
        <v>44877</v>
      </c>
      <c r="LW7" s="71">
        <f t="shared" ref="LW7" si="313">LV7+1</f>
        <v>44878</v>
      </c>
      <c r="LX7" s="67">
        <f t="shared" ref="LX7" si="314">LW7+1</f>
        <v>44879</v>
      </c>
      <c r="LY7" s="68">
        <f t="shared" ref="LY7" si="315">LX7+1</f>
        <v>44880</v>
      </c>
      <c r="LZ7" s="67">
        <f t="shared" ref="LZ7" si="316">LY7+1</f>
        <v>44881</v>
      </c>
      <c r="MA7" s="68">
        <f t="shared" ref="MA7" si="317">LZ7+1</f>
        <v>44882</v>
      </c>
      <c r="MB7" s="69">
        <f t="shared" ref="MB7" si="318">MA7+1</f>
        <v>44883</v>
      </c>
      <c r="MC7" s="71">
        <f t="shared" ref="MC7" si="319">MB7+1</f>
        <v>44884</v>
      </c>
      <c r="MD7" s="71">
        <f t="shared" ref="MD7" si="320">MC7+1</f>
        <v>44885</v>
      </c>
      <c r="ME7" s="67">
        <f t="shared" ref="ME7" si="321">MD7+1</f>
        <v>44886</v>
      </c>
      <c r="MF7" s="68">
        <f t="shared" ref="MF7" si="322">ME7+1</f>
        <v>44887</v>
      </c>
      <c r="MG7" s="67">
        <f t="shared" ref="MG7" si="323">MF7+1</f>
        <v>44888</v>
      </c>
      <c r="MH7" s="68">
        <f t="shared" ref="MH7" si="324">MG7+1</f>
        <v>44889</v>
      </c>
      <c r="MI7" s="69">
        <f t="shared" ref="MI7" si="325">MH7+1</f>
        <v>44890</v>
      </c>
      <c r="MJ7" s="71">
        <f t="shared" ref="MJ7" si="326">MI7+1</f>
        <v>44891</v>
      </c>
      <c r="MK7" s="71">
        <f t="shared" ref="MK7" si="327">MJ7+1</f>
        <v>44892</v>
      </c>
      <c r="ML7" s="67">
        <f t="shared" ref="ML7" si="328">MK7+1</f>
        <v>44893</v>
      </c>
      <c r="MM7" s="68">
        <f t="shared" ref="MM7" si="329">ML7+1</f>
        <v>44894</v>
      </c>
      <c r="MN7" s="67">
        <f t="shared" ref="MN7" si="330">MM7+1</f>
        <v>44895</v>
      </c>
      <c r="MO7" s="68">
        <f t="shared" ref="MO7" si="331">MN7+1</f>
        <v>44896</v>
      </c>
      <c r="MP7" s="69">
        <f t="shared" ref="MP7" si="332">MO7+1</f>
        <v>44897</v>
      </c>
      <c r="MQ7" s="71">
        <f t="shared" ref="MQ7" si="333">MP7+1</f>
        <v>44898</v>
      </c>
      <c r="MR7" s="71">
        <f t="shared" ref="MR7" si="334">MQ7+1</f>
        <v>44899</v>
      </c>
      <c r="MS7" s="67">
        <f t="shared" ref="MS7" si="335">MR7+1</f>
        <v>44900</v>
      </c>
      <c r="MT7" s="68">
        <f t="shared" ref="MT7" si="336">MS7+1</f>
        <v>44901</v>
      </c>
      <c r="MU7" s="67">
        <f t="shared" ref="MU7" si="337">MT7+1</f>
        <v>44902</v>
      </c>
      <c r="MV7" s="68">
        <f t="shared" ref="MV7" si="338">MU7+1</f>
        <v>44903</v>
      </c>
      <c r="MW7" s="69">
        <f t="shared" ref="MW7" si="339">MV7+1</f>
        <v>44904</v>
      </c>
      <c r="MX7" s="71">
        <f t="shared" ref="MX7" si="340">MW7+1</f>
        <v>44905</v>
      </c>
      <c r="MY7" s="71">
        <f t="shared" ref="MY7" si="341">MX7+1</f>
        <v>44906</v>
      </c>
      <c r="MZ7" s="67">
        <f t="shared" ref="MZ7" si="342">MY7+1</f>
        <v>44907</v>
      </c>
      <c r="NA7" s="68">
        <f t="shared" ref="NA7" si="343">MZ7+1</f>
        <v>44908</v>
      </c>
      <c r="NB7" s="67">
        <f t="shared" ref="NB7" si="344">NA7+1</f>
        <v>44909</v>
      </c>
      <c r="NC7" s="68">
        <f t="shared" ref="NC7" si="345">NB7+1</f>
        <v>44910</v>
      </c>
      <c r="ND7" s="69">
        <f t="shared" ref="ND7" si="346">NC7+1</f>
        <v>44911</v>
      </c>
      <c r="NE7" s="71">
        <f t="shared" ref="NE7" si="347">ND7+1</f>
        <v>44912</v>
      </c>
      <c r="NF7" s="71">
        <f t="shared" ref="NF7" si="348">NE7+1</f>
        <v>44913</v>
      </c>
      <c r="NG7" s="67">
        <f t="shared" ref="NG7" si="349">NF7+1</f>
        <v>44914</v>
      </c>
      <c r="NH7" s="68">
        <f t="shared" ref="NH7" si="350">NG7+1</f>
        <v>44915</v>
      </c>
      <c r="NI7" s="67">
        <f t="shared" ref="NI7" si="351">NH7+1</f>
        <v>44916</v>
      </c>
      <c r="NJ7" s="68">
        <f t="shared" ref="NJ7" si="352">NI7+1</f>
        <v>44917</v>
      </c>
      <c r="NK7" s="69">
        <f t="shared" ref="NK7" si="353">NJ7+1</f>
        <v>44918</v>
      </c>
      <c r="NL7" s="71">
        <f t="shared" ref="NL7" si="354">NK7+1</f>
        <v>44919</v>
      </c>
      <c r="NM7" s="71">
        <f t="shared" ref="NM7" si="355">NL7+1</f>
        <v>44920</v>
      </c>
      <c r="NN7" s="67">
        <f t="shared" ref="NN7" si="356">NM7+1</f>
        <v>44921</v>
      </c>
      <c r="NO7" s="68">
        <f t="shared" ref="NO7" si="357">NN7+1</f>
        <v>44922</v>
      </c>
      <c r="NP7" s="67">
        <f t="shared" ref="NP7" si="358">NO7+1</f>
        <v>44923</v>
      </c>
      <c r="NQ7" s="68">
        <f t="shared" ref="NQ7" si="359">NP7+1</f>
        <v>44924</v>
      </c>
      <c r="NR7" s="69">
        <f t="shared" ref="NR7" si="360">NQ7+1</f>
        <v>44925</v>
      </c>
      <c r="NS7" s="71">
        <f t="shared" ref="NS7" si="361">NR7+1</f>
        <v>44926</v>
      </c>
      <c r="NT7" s="71">
        <f t="shared" ref="NT7" si="362">NS7+1</f>
        <v>44927</v>
      </c>
    </row>
    <row r="8" spans="1:384" s="31" customFormat="1" ht="9" customHeight="1" x14ac:dyDescent="0.15">
      <c r="A8" s="36"/>
      <c r="B8" s="63" t="s">
        <v>25</v>
      </c>
      <c r="C8" s="43" t="s">
        <v>44</v>
      </c>
      <c r="D8" s="43"/>
      <c r="E8" s="61"/>
      <c r="F8" s="39"/>
      <c r="G8" s="61"/>
      <c r="H8" s="61"/>
      <c r="I8" s="40"/>
      <c r="J8" s="62"/>
      <c r="K8" s="38"/>
      <c r="L8" s="35"/>
      <c r="M8" s="36"/>
      <c r="S8" s="74"/>
      <c r="T8" s="74"/>
      <c r="Z8" s="74"/>
      <c r="AA8" s="74"/>
      <c r="AG8" s="74"/>
      <c r="AH8" s="74"/>
      <c r="AN8" s="74"/>
      <c r="AO8" s="74"/>
      <c r="AU8" s="74"/>
      <c r="AV8" s="74"/>
      <c r="BB8" s="74"/>
      <c r="BC8" s="74"/>
      <c r="BI8" s="74"/>
      <c r="BJ8" s="74"/>
      <c r="BP8" s="74"/>
      <c r="BQ8" s="74"/>
      <c r="BW8" s="74"/>
      <c r="BX8" s="74"/>
      <c r="CD8" s="74"/>
      <c r="CE8" s="74"/>
      <c r="CK8" s="74"/>
      <c r="CL8" s="74"/>
      <c r="CR8" s="74"/>
      <c r="CS8" s="74"/>
      <c r="CY8" s="74"/>
      <c r="CZ8" s="74"/>
      <c r="DF8" s="74"/>
      <c r="DG8" s="74"/>
      <c r="DM8" s="74"/>
      <c r="DN8" s="74"/>
      <c r="DP8" s="77"/>
      <c r="DT8" s="74"/>
      <c r="DU8" s="74"/>
      <c r="EA8" s="74"/>
      <c r="EB8" s="74"/>
      <c r="EH8" s="74"/>
      <c r="EI8" s="74"/>
      <c r="EO8" s="74"/>
      <c r="EP8" s="74"/>
      <c r="EV8" s="74"/>
      <c r="EW8" s="74"/>
      <c r="FC8" s="74"/>
      <c r="FD8" s="74"/>
      <c r="FJ8" s="74"/>
      <c r="FK8" s="74"/>
      <c r="FQ8" s="74"/>
      <c r="FR8" s="74"/>
      <c r="FX8" s="74"/>
      <c r="FY8" s="74"/>
      <c r="GE8" s="74"/>
      <c r="GF8" s="74"/>
      <c r="GL8" s="74"/>
      <c r="GM8" s="74"/>
      <c r="GS8" s="74"/>
      <c r="GT8" s="74"/>
      <c r="GZ8" s="74"/>
      <c r="HA8" s="74"/>
      <c r="HG8" s="74"/>
      <c r="HH8" s="74"/>
      <c r="HN8" s="74"/>
      <c r="HO8" s="74"/>
      <c r="HU8" s="74"/>
      <c r="HV8" s="74"/>
      <c r="IB8" s="74"/>
      <c r="IC8" s="74"/>
      <c r="II8" s="74"/>
      <c r="IJ8" s="74"/>
      <c r="IP8" s="74"/>
      <c r="IQ8" s="74"/>
      <c r="IW8" s="74"/>
      <c r="IX8" s="74"/>
      <c r="JD8" s="74"/>
      <c r="JE8" s="74"/>
      <c r="JK8" s="74"/>
      <c r="JL8" s="74"/>
      <c r="JR8" s="74"/>
      <c r="JS8" s="74"/>
      <c r="JY8" s="74"/>
      <c r="JZ8" s="74"/>
      <c r="KF8" s="74"/>
      <c r="KG8" s="74"/>
      <c r="KM8" s="74"/>
      <c r="KN8" s="74"/>
      <c r="KT8" s="74"/>
      <c r="KU8" s="74"/>
      <c r="LA8" s="74"/>
      <c r="LB8" s="74"/>
      <c r="LH8" s="74"/>
      <c r="LI8" s="74"/>
      <c r="LO8" s="74"/>
      <c r="LP8" s="74"/>
      <c r="LV8" s="74"/>
      <c r="LW8" s="74"/>
      <c r="MC8" s="74"/>
      <c r="MD8" s="74"/>
      <c r="MJ8" s="74"/>
      <c r="MK8" s="74"/>
      <c r="MQ8" s="74"/>
      <c r="MR8" s="74"/>
      <c r="MX8" s="74"/>
      <c r="MY8" s="74"/>
      <c r="NE8" s="74"/>
      <c r="NF8" s="74"/>
      <c r="NL8" s="74"/>
      <c r="NM8" s="74"/>
      <c r="NS8" s="74"/>
      <c r="NT8" s="74"/>
    </row>
    <row r="9" spans="1:384" s="29" customFormat="1" ht="9" customHeight="1" outlineLevel="1" x14ac:dyDescent="0.2">
      <c r="B9" s="64">
        <v>1</v>
      </c>
      <c r="C9" s="65" t="s">
        <v>45</v>
      </c>
      <c r="D9" s="65"/>
      <c r="E9" s="61"/>
      <c r="F9" s="39"/>
      <c r="G9" s="61"/>
      <c r="H9" s="61"/>
      <c r="I9" s="40"/>
      <c r="J9" s="62"/>
      <c r="K9" s="38"/>
      <c r="L9" s="35"/>
      <c r="N9" s="31"/>
      <c r="O9" s="31"/>
      <c r="P9" s="31"/>
      <c r="Q9" s="31"/>
      <c r="R9" s="31"/>
      <c r="S9" s="74"/>
      <c r="T9" s="74"/>
      <c r="U9" s="31"/>
      <c r="V9" s="31"/>
      <c r="W9" s="31"/>
      <c r="X9" s="31"/>
      <c r="Y9" s="31"/>
      <c r="Z9" s="74"/>
      <c r="AA9" s="74"/>
      <c r="AB9" s="31"/>
      <c r="AC9" s="31"/>
      <c r="AD9" s="31"/>
      <c r="AE9" s="31"/>
      <c r="AF9" s="31"/>
      <c r="AG9" s="74"/>
      <c r="AH9" s="74"/>
      <c r="AI9" s="31"/>
      <c r="AJ9" s="31"/>
      <c r="AK9" s="31"/>
      <c r="AL9" s="31"/>
      <c r="AM9" s="31"/>
      <c r="AN9" s="74"/>
      <c r="AO9" s="74"/>
      <c r="AP9" s="31"/>
      <c r="AQ9" s="31"/>
      <c r="AR9" s="31"/>
      <c r="AS9" s="31"/>
      <c r="AT9" s="31"/>
      <c r="AU9" s="74"/>
      <c r="AV9" s="74"/>
      <c r="AW9" s="31"/>
      <c r="AX9" s="31"/>
      <c r="AY9" s="31"/>
      <c r="AZ9" s="31"/>
      <c r="BA9" s="31"/>
      <c r="BB9" s="74"/>
      <c r="BC9" s="74"/>
      <c r="BD9" s="31"/>
      <c r="BE9" s="31"/>
      <c r="BF9" s="31"/>
      <c r="BG9" s="31"/>
      <c r="BH9" s="31"/>
      <c r="BI9" s="74"/>
      <c r="BJ9" s="74"/>
      <c r="BK9" s="31"/>
      <c r="BL9" s="31"/>
      <c r="BM9" s="31"/>
      <c r="BN9" s="31"/>
      <c r="BO9" s="31"/>
      <c r="BP9" s="74"/>
      <c r="BQ9" s="74"/>
      <c r="BR9" s="31"/>
      <c r="BS9" s="31"/>
      <c r="BT9" s="31"/>
      <c r="BU9" s="31"/>
      <c r="BV9" s="31"/>
      <c r="BW9" s="74"/>
      <c r="BX9" s="74"/>
      <c r="BY9" s="31"/>
      <c r="BZ9" s="31"/>
      <c r="CA9" s="31"/>
      <c r="CB9" s="31"/>
      <c r="CC9" s="31"/>
      <c r="CD9" s="74"/>
      <c r="CE9" s="74"/>
      <c r="CF9" s="31"/>
      <c r="CG9" s="31"/>
      <c r="CH9" s="31"/>
      <c r="CI9" s="31"/>
      <c r="CJ9" s="31"/>
      <c r="CK9" s="74"/>
      <c r="CL9" s="74"/>
      <c r="CM9" s="31"/>
      <c r="CN9" s="31"/>
      <c r="CO9" s="31"/>
      <c r="CP9" s="31"/>
      <c r="CQ9" s="31"/>
      <c r="CR9" s="74"/>
      <c r="CS9" s="74"/>
      <c r="CT9" s="31"/>
      <c r="CU9" s="31"/>
      <c r="CV9" s="31"/>
      <c r="CW9" s="31"/>
      <c r="CX9" s="31"/>
      <c r="CY9" s="74"/>
      <c r="CZ9" s="74"/>
      <c r="DA9" s="31"/>
      <c r="DB9" s="31"/>
      <c r="DC9" s="31"/>
      <c r="DD9" s="31"/>
      <c r="DE9" s="31"/>
      <c r="DF9" s="74"/>
      <c r="DG9" s="74"/>
      <c r="DH9" s="31"/>
      <c r="DI9" s="31"/>
      <c r="DJ9" s="31"/>
      <c r="DK9" s="31"/>
      <c r="DL9" s="31"/>
      <c r="DM9" s="74"/>
      <c r="DN9" s="74"/>
      <c r="DO9" s="31"/>
      <c r="DP9" s="77"/>
      <c r="DQ9" s="31"/>
      <c r="DR9" s="31"/>
      <c r="DS9" s="31"/>
      <c r="DT9" s="74"/>
      <c r="DU9" s="74"/>
      <c r="DV9" s="31"/>
      <c r="DW9" s="31"/>
      <c r="DX9" s="31"/>
      <c r="DY9" s="31"/>
      <c r="DZ9" s="31"/>
      <c r="EA9" s="74"/>
      <c r="EB9" s="74"/>
      <c r="EC9" s="31"/>
      <c r="ED9" s="31"/>
      <c r="EE9" s="31"/>
      <c r="EF9" s="31"/>
      <c r="EG9" s="31"/>
      <c r="EH9" s="74"/>
      <c r="EI9" s="74"/>
      <c r="EJ9" s="31"/>
      <c r="EK9" s="31"/>
      <c r="EL9" s="31"/>
      <c r="EM9" s="31"/>
      <c r="EN9" s="31"/>
      <c r="EO9" s="74"/>
      <c r="EP9" s="74"/>
      <c r="EQ9" s="31"/>
      <c r="ER9" s="31"/>
      <c r="ES9" s="31"/>
      <c r="ET9" s="31"/>
      <c r="EU9" s="31"/>
      <c r="EV9" s="74"/>
      <c r="EW9" s="74"/>
      <c r="EX9" s="31"/>
      <c r="EY9" s="31"/>
      <c r="EZ9" s="31"/>
      <c r="FA9" s="31"/>
      <c r="FB9" s="31"/>
      <c r="FC9" s="74"/>
      <c r="FD9" s="74"/>
      <c r="FE9" s="31"/>
      <c r="FF9" s="31"/>
      <c r="FG9" s="31"/>
      <c r="FH9" s="31"/>
      <c r="FI9" s="31"/>
      <c r="FJ9" s="74"/>
      <c r="FK9" s="74"/>
      <c r="FL9" s="31"/>
      <c r="FM9" s="31"/>
      <c r="FN9" s="31"/>
      <c r="FO9" s="31"/>
      <c r="FP9" s="31"/>
      <c r="FQ9" s="74"/>
      <c r="FR9" s="74"/>
      <c r="FS9" s="31"/>
      <c r="FT9" s="31"/>
      <c r="FU9" s="31"/>
      <c r="FV9" s="31"/>
      <c r="FW9" s="31"/>
      <c r="FX9" s="74"/>
      <c r="FY9" s="74"/>
      <c r="FZ9" s="31"/>
      <c r="GA9" s="31"/>
      <c r="GB9" s="31"/>
      <c r="GC9" s="31"/>
      <c r="GD9" s="31"/>
      <c r="GE9" s="74"/>
      <c r="GF9" s="74"/>
      <c r="GG9" s="31"/>
      <c r="GH9" s="31"/>
      <c r="GI9" s="31"/>
      <c r="GJ9" s="31"/>
      <c r="GK9" s="31"/>
      <c r="GL9" s="74"/>
      <c r="GM9" s="74"/>
      <c r="GN9" s="31"/>
      <c r="GO9" s="31"/>
      <c r="GP9" s="31"/>
      <c r="GQ9" s="31"/>
      <c r="GR9" s="31"/>
      <c r="GS9" s="74"/>
      <c r="GT9" s="74"/>
      <c r="GU9" s="31"/>
      <c r="GV9" s="31"/>
      <c r="GW9" s="31"/>
      <c r="GX9" s="31"/>
      <c r="GY9" s="31"/>
      <c r="GZ9" s="74"/>
      <c r="HA9" s="74"/>
      <c r="HB9" s="31"/>
      <c r="HC9" s="31"/>
      <c r="HD9" s="31"/>
      <c r="HE9" s="31"/>
      <c r="HF9" s="31"/>
      <c r="HG9" s="74"/>
      <c r="HH9" s="74"/>
      <c r="HI9" s="31"/>
      <c r="HJ9" s="31"/>
      <c r="HK9" s="31"/>
      <c r="HL9" s="31"/>
      <c r="HM9" s="31"/>
      <c r="HN9" s="74"/>
      <c r="HO9" s="74"/>
      <c r="HP9" s="31"/>
      <c r="HQ9" s="31"/>
      <c r="HR9" s="31"/>
      <c r="HS9" s="31"/>
      <c r="HT9" s="31"/>
      <c r="HU9" s="74"/>
      <c r="HV9" s="74"/>
      <c r="HW9" s="31"/>
      <c r="HX9" s="31"/>
      <c r="HY9" s="31"/>
      <c r="HZ9" s="31"/>
      <c r="IA9" s="31"/>
      <c r="IB9" s="74"/>
      <c r="IC9" s="74"/>
      <c r="ID9" s="31"/>
      <c r="IE9" s="31"/>
      <c r="IF9" s="31"/>
      <c r="IG9" s="31"/>
      <c r="IH9" s="31"/>
      <c r="II9" s="74"/>
      <c r="IJ9" s="74"/>
      <c r="IK9" s="31"/>
      <c r="IL9" s="31"/>
      <c r="IM9" s="31"/>
      <c r="IN9" s="31"/>
      <c r="IO9" s="31"/>
      <c r="IP9" s="74"/>
      <c r="IQ9" s="74"/>
      <c r="IR9" s="31"/>
      <c r="IS9" s="31"/>
      <c r="IT9" s="31"/>
      <c r="IU9" s="31"/>
      <c r="IV9" s="31"/>
      <c r="IW9" s="74"/>
      <c r="IX9" s="74"/>
      <c r="IY9" s="31"/>
      <c r="IZ9" s="31"/>
      <c r="JA9" s="31"/>
      <c r="JB9" s="31"/>
      <c r="JC9" s="31"/>
      <c r="JD9" s="74"/>
      <c r="JE9" s="74"/>
      <c r="JF9" s="31"/>
      <c r="JG9" s="31"/>
      <c r="JH9" s="31"/>
      <c r="JI9" s="31"/>
      <c r="JJ9" s="31"/>
      <c r="JK9" s="74"/>
      <c r="JL9" s="74"/>
      <c r="JM9" s="31"/>
      <c r="JN9" s="31"/>
      <c r="JO9" s="31"/>
      <c r="JP9" s="31"/>
      <c r="JQ9" s="31"/>
      <c r="JR9" s="74"/>
      <c r="JS9" s="74"/>
      <c r="JT9" s="31"/>
      <c r="JU9" s="31"/>
      <c r="JV9" s="31"/>
      <c r="JW9" s="31"/>
      <c r="JX9" s="31"/>
      <c r="JY9" s="74"/>
      <c r="JZ9" s="74"/>
      <c r="KA9" s="31"/>
      <c r="KB9" s="31"/>
      <c r="KC9" s="31"/>
      <c r="KD9" s="31"/>
      <c r="KE9" s="31"/>
      <c r="KF9" s="74"/>
      <c r="KG9" s="74"/>
      <c r="KH9" s="31"/>
      <c r="KI9" s="31"/>
      <c r="KJ9" s="31"/>
      <c r="KK9" s="31"/>
      <c r="KL9" s="31"/>
      <c r="KM9" s="74"/>
      <c r="KN9" s="74"/>
      <c r="KO9" s="31"/>
      <c r="KP9" s="31"/>
      <c r="KQ9" s="31"/>
      <c r="KR9" s="31"/>
      <c r="KS9" s="31"/>
      <c r="KT9" s="74"/>
      <c r="KU9" s="74"/>
      <c r="KV9" s="31"/>
      <c r="KW9" s="31"/>
      <c r="KX9" s="31"/>
      <c r="KY9" s="31"/>
      <c r="KZ9" s="31"/>
      <c r="LA9" s="74"/>
      <c r="LB9" s="74"/>
      <c r="LC9" s="31"/>
      <c r="LD9" s="31"/>
      <c r="LE9" s="31"/>
      <c r="LF9" s="31"/>
      <c r="LG9" s="31"/>
      <c r="LH9" s="74"/>
      <c r="LI9" s="74"/>
      <c r="LJ9" s="31"/>
      <c r="LK9" s="31"/>
      <c r="LL9" s="31"/>
      <c r="LM9" s="31"/>
      <c r="LN9" s="31"/>
      <c r="LO9" s="74"/>
      <c r="LP9" s="74"/>
      <c r="LQ9" s="31"/>
      <c r="LR9" s="31"/>
      <c r="LS9" s="31"/>
      <c r="LT9" s="31"/>
      <c r="LU9" s="31"/>
      <c r="LV9" s="74"/>
      <c r="LW9" s="74"/>
      <c r="LX9" s="31"/>
      <c r="LY9" s="31"/>
      <c r="LZ9" s="31"/>
      <c r="MA9" s="31"/>
      <c r="MB9" s="31"/>
      <c r="MC9" s="74"/>
      <c r="MD9" s="74"/>
      <c r="ME9" s="31"/>
      <c r="MF9" s="31"/>
      <c r="MG9" s="31"/>
      <c r="MH9" s="31"/>
      <c r="MI9" s="31"/>
      <c r="MJ9" s="74"/>
      <c r="MK9" s="74"/>
      <c r="ML9" s="31"/>
      <c r="MM9" s="31"/>
      <c r="MN9" s="31"/>
      <c r="MO9" s="31"/>
      <c r="MP9" s="31"/>
      <c r="MQ9" s="74"/>
      <c r="MR9" s="74"/>
      <c r="MS9" s="31"/>
      <c r="MT9" s="31"/>
      <c r="MU9" s="31"/>
      <c r="MV9" s="31"/>
      <c r="MW9" s="31"/>
      <c r="MX9" s="74"/>
      <c r="MY9" s="74"/>
      <c r="MZ9" s="31"/>
      <c r="NA9" s="31"/>
      <c r="NB9" s="31"/>
      <c r="NC9" s="31"/>
      <c r="ND9" s="31"/>
      <c r="NE9" s="74"/>
      <c r="NF9" s="74"/>
      <c r="NG9" s="31"/>
      <c r="NH9" s="31"/>
      <c r="NI9" s="31"/>
      <c r="NJ9" s="31"/>
      <c r="NK9" s="31"/>
      <c r="NL9" s="74"/>
      <c r="NM9" s="74"/>
      <c r="NN9" s="31"/>
      <c r="NO9" s="31"/>
      <c r="NP9" s="31"/>
      <c r="NQ9" s="31"/>
      <c r="NR9" s="31"/>
      <c r="NS9" s="74"/>
      <c r="NT9" s="74"/>
    </row>
    <row r="10" spans="1:384" s="29" customFormat="1" ht="9" customHeight="1" outlineLevel="2" x14ac:dyDescent="0.2">
      <c r="B10" s="37">
        <v>1.01</v>
      </c>
      <c r="C10" s="35" t="s">
        <v>46</v>
      </c>
      <c r="D10" s="35"/>
      <c r="E10" s="61"/>
      <c r="F10" s="39"/>
      <c r="G10" s="61"/>
      <c r="H10" s="61"/>
      <c r="I10" s="40"/>
      <c r="J10" s="62"/>
      <c r="K10" s="38"/>
      <c r="L10" s="35"/>
      <c r="N10" s="31"/>
      <c r="O10" s="31"/>
      <c r="P10" s="31"/>
      <c r="Q10" s="31"/>
      <c r="R10" s="31"/>
      <c r="S10" s="74"/>
      <c r="T10" s="74"/>
      <c r="U10" s="31"/>
      <c r="V10" s="31"/>
      <c r="W10" s="31"/>
      <c r="X10" s="31"/>
      <c r="Y10" s="31"/>
      <c r="Z10" s="74"/>
      <c r="AA10" s="74"/>
      <c r="AB10" s="31"/>
      <c r="AC10" s="31"/>
      <c r="AD10" s="31"/>
      <c r="AE10" s="31"/>
      <c r="AF10" s="31"/>
      <c r="AG10" s="74"/>
      <c r="AH10" s="74"/>
      <c r="AI10" s="31"/>
      <c r="AJ10" s="31"/>
      <c r="AK10" s="31"/>
      <c r="AL10" s="31"/>
      <c r="AM10" s="31"/>
      <c r="AN10" s="74"/>
      <c r="AO10" s="74"/>
      <c r="AP10" s="31"/>
      <c r="AQ10" s="31"/>
      <c r="AR10" s="31"/>
      <c r="AS10" s="31"/>
      <c r="AT10" s="31"/>
      <c r="AU10" s="74"/>
      <c r="AV10" s="74"/>
      <c r="AW10" s="31"/>
      <c r="AX10" s="31"/>
      <c r="AY10" s="31"/>
      <c r="AZ10" s="31"/>
      <c r="BA10" s="31"/>
      <c r="BB10" s="74"/>
      <c r="BC10" s="74"/>
      <c r="BD10" s="31"/>
      <c r="BE10" s="31"/>
      <c r="BF10" s="31"/>
      <c r="BG10" s="31"/>
      <c r="BH10" s="31"/>
      <c r="BI10" s="74"/>
      <c r="BJ10" s="74"/>
      <c r="BK10" s="31"/>
      <c r="BL10" s="31"/>
      <c r="BM10" s="31"/>
      <c r="BN10" s="31"/>
      <c r="BO10" s="31"/>
      <c r="BP10" s="74"/>
      <c r="BQ10" s="74"/>
      <c r="BR10" s="31"/>
      <c r="BS10" s="31"/>
      <c r="BT10" s="31"/>
      <c r="BU10" s="31"/>
      <c r="BV10" s="31"/>
      <c r="BW10" s="74"/>
      <c r="BX10" s="74"/>
      <c r="BY10" s="31"/>
      <c r="BZ10" s="31"/>
      <c r="CA10" s="31"/>
      <c r="CB10" s="31"/>
      <c r="CC10" s="31"/>
      <c r="CD10" s="74"/>
      <c r="CE10" s="74"/>
      <c r="CF10" s="31"/>
      <c r="CG10" s="31"/>
      <c r="CH10" s="31"/>
      <c r="CI10" s="31"/>
      <c r="CJ10" s="31"/>
      <c r="CK10" s="74"/>
      <c r="CL10" s="74"/>
      <c r="CM10" s="31"/>
      <c r="CN10" s="31"/>
      <c r="CO10" s="31"/>
      <c r="CP10" s="31"/>
      <c r="CQ10" s="31"/>
      <c r="CR10" s="74"/>
      <c r="CS10" s="74"/>
      <c r="CT10" s="31"/>
      <c r="CU10" s="31"/>
      <c r="CV10" s="31"/>
      <c r="CW10" s="31"/>
      <c r="CX10" s="31"/>
      <c r="CY10" s="74"/>
      <c r="CZ10" s="74"/>
      <c r="DA10" s="31"/>
      <c r="DB10" s="31"/>
      <c r="DC10" s="31"/>
      <c r="DD10" s="31"/>
      <c r="DE10" s="31"/>
      <c r="DF10" s="74"/>
      <c r="DG10" s="74"/>
      <c r="DH10" s="31"/>
      <c r="DI10" s="31"/>
      <c r="DJ10" s="31"/>
      <c r="DK10" s="31"/>
      <c r="DL10" s="31"/>
      <c r="DM10" s="74"/>
      <c r="DN10" s="74"/>
      <c r="DO10" s="31"/>
      <c r="DP10" s="77"/>
      <c r="DQ10" s="31"/>
      <c r="DR10" s="31"/>
      <c r="DS10" s="31"/>
      <c r="DT10" s="74"/>
      <c r="DU10" s="74"/>
      <c r="DV10" s="31"/>
      <c r="DW10" s="31"/>
      <c r="DX10" s="31"/>
      <c r="DY10" s="31"/>
      <c r="DZ10" s="31"/>
      <c r="EA10" s="74"/>
      <c r="EB10" s="74"/>
      <c r="EC10" s="31"/>
      <c r="ED10" s="31"/>
      <c r="EE10" s="31"/>
      <c r="EF10" s="31"/>
      <c r="EG10" s="31"/>
      <c r="EH10" s="74"/>
      <c r="EI10" s="74"/>
      <c r="EJ10" s="31"/>
      <c r="EK10" s="31"/>
      <c r="EL10" s="31"/>
      <c r="EM10" s="31"/>
      <c r="EN10" s="31"/>
      <c r="EO10" s="74"/>
      <c r="EP10" s="74"/>
      <c r="EQ10" s="31"/>
      <c r="ER10" s="31"/>
      <c r="ES10" s="31"/>
      <c r="ET10" s="31"/>
      <c r="EU10" s="31"/>
      <c r="EV10" s="74"/>
      <c r="EW10" s="74"/>
      <c r="EX10" s="31"/>
      <c r="EY10" s="31"/>
      <c r="EZ10" s="31"/>
      <c r="FA10" s="31"/>
      <c r="FB10" s="31"/>
      <c r="FC10" s="74"/>
      <c r="FD10" s="74"/>
      <c r="FE10" s="31"/>
      <c r="FF10" s="31"/>
      <c r="FG10" s="31"/>
      <c r="FH10" s="31"/>
      <c r="FI10" s="31"/>
      <c r="FJ10" s="74"/>
      <c r="FK10" s="74"/>
      <c r="FL10" s="31"/>
      <c r="FM10" s="31"/>
      <c r="FN10" s="31"/>
      <c r="FO10" s="31"/>
      <c r="FP10" s="31"/>
      <c r="FQ10" s="74"/>
      <c r="FR10" s="74"/>
      <c r="FS10" s="31"/>
      <c r="FT10" s="31"/>
      <c r="FU10" s="31"/>
      <c r="FV10" s="31"/>
      <c r="FW10" s="31"/>
      <c r="FX10" s="74"/>
      <c r="FY10" s="74"/>
      <c r="FZ10" s="31"/>
      <c r="GA10" s="31"/>
      <c r="GB10" s="31"/>
      <c r="GC10" s="31"/>
      <c r="GD10" s="31"/>
      <c r="GE10" s="74"/>
      <c r="GF10" s="74"/>
      <c r="GG10" s="31"/>
      <c r="GH10" s="31"/>
      <c r="GI10" s="31"/>
      <c r="GJ10" s="31"/>
      <c r="GK10" s="31"/>
      <c r="GL10" s="74"/>
      <c r="GM10" s="74"/>
      <c r="GN10" s="31"/>
      <c r="GO10" s="31"/>
      <c r="GP10" s="31"/>
      <c r="GQ10" s="31"/>
      <c r="GR10" s="31"/>
      <c r="GS10" s="74"/>
      <c r="GT10" s="74"/>
      <c r="GU10" s="31"/>
      <c r="GV10" s="31"/>
      <c r="GW10" s="31"/>
      <c r="GX10" s="31"/>
      <c r="GY10" s="31"/>
      <c r="GZ10" s="74"/>
      <c r="HA10" s="74"/>
      <c r="HB10" s="31"/>
      <c r="HC10" s="31"/>
      <c r="HD10" s="31"/>
      <c r="HE10" s="31"/>
      <c r="HF10" s="31"/>
      <c r="HG10" s="74"/>
      <c r="HH10" s="74"/>
      <c r="HI10" s="31"/>
      <c r="HJ10" s="31"/>
      <c r="HK10" s="31"/>
      <c r="HL10" s="31"/>
      <c r="HM10" s="31"/>
      <c r="HN10" s="74"/>
      <c r="HO10" s="74"/>
      <c r="HP10" s="31"/>
      <c r="HQ10" s="31"/>
      <c r="HR10" s="31"/>
      <c r="HS10" s="31"/>
      <c r="HT10" s="31"/>
      <c r="HU10" s="74"/>
      <c r="HV10" s="74"/>
      <c r="HW10" s="31"/>
      <c r="HX10" s="31"/>
      <c r="HY10" s="31"/>
      <c r="HZ10" s="31"/>
      <c r="IA10" s="31"/>
      <c r="IB10" s="74"/>
      <c r="IC10" s="74"/>
      <c r="ID10" s="31"/>
      <c r="IE10" s="31"/>
      <c r="IF10" s="31"/>
      <c r="IG10" s="31"/>
      <c r="IH10" s="31"/>
      <c r="II10" s="74"/>
      <c r="IJ10" s="74"/>
      <c r="IK10" s="31"/>
      <c r="IL10" s="31"/>
      <c r="IM10" s="31"/>
      <c r="IN10" s="31"/>
      <c r="IO10" s="31"/>
      <c r="IP10" s="74"/>
      <c r="IQ10" s="74"/>
      <c r="IR10" s="31"/>
      <c r="IS10" s="31"/>
      <c r="IT10" s="31"/>
      <c r="IU10" s="31"/>
      <c r="IV10" s="31"/>
      <c r="IW10" s="74"/>
      <c r="IX10" s="74"/>
      <c r="IY10" s="31"/>
      <c r="IZ10" s="31"/>
      <c r="JA10" s="31"/>
      <c r="JB10" s="31"/>
      <c r="JC10" s="31"/>
      <c r="JD10" s="74"/>
      <c r="JE10" s="74"/>
      <c r="JF10" s="31"/>
      <c r="JG10" s="31"/>
      <c r="JH10" s="31"/>
      <c r="JI10" s="31"/>
      <c r="JJ10" s="31"/>
      <c r="JK10" s="74"/>
      <c r="JL10" s="74"/>
      <c r="JM10" s="31"/>
      <c r="JN10" s="31"/>
      <c r="JO10" s="31"/>
      <c r="JP10" s="31"/>
      <c r="JQ10" s="31"/>
      <c r="JR10" s="74"/>
      <c r="JS10" s="74"/>
      <c r="JT10" s="31"/>
      <c r="JU10" s="31"/>
      <c r="JV10" s="31"/>
      <c r="JW10" s="31"/>
      <c r="JX10" s="31"/>
      <c r="JY10" s="74"/>
      <c r="JZ10" s="74"/>
      <c r="KA10" s="31"/>
      <c r="KB10" s="31"/>
      <c r="KC10" s="31"/>
      <c r="KD10" s="31"/>
      <c r="KE10" s="31"/>
      <c r="KF10" s="74"/>
      <c r="KG10" s="74"/>
      <c r="KH10" s="31"/>
      <c r="KI10" s="31"/>
      <c r="KJ10" s="31"/>
      <c r="KK10" s="31"/>
      <c r="KL10" s="31"/>
      <c r="KM10" s="74"/>
      <c r="KN10" s="74"/>
      <c r="KO10" s="31"/>
      <c r="KP10" s="31"/>
      <c r="KQ10" s="31"/>
      <c r="KR10" s="31"/>
      <c r="KS10" s="31"/>
      <c r="KT10" s="74"/>
      <c r="KU10" s="74"/>
      <c r="KV10" s="31"/>
      <c r="KW10" s="31"/>
      <c r="KX10" s="31"/>
      <c r="KY10" s="31"/>
      <c r="KZ10" s="31"/>
      <c r="LA10" s="74"/>
      <c r="LB10" s="74"/>
      <c r="LC10" s="31"/>
      <c r="LD10" s="31"/>
      <c r="LE10" s="31"/>
      <c r="LF10" s="31"/>
      <c r="LG10" s="31"/>
      <c r="LH10" s="74"/>
      <c r="LI10" s="74"/>
      <c r="LJ10" s="31"/>
      <c r="LK10" s="31"/>
      <c r="LL10" s="31"/>
      <c r="LM10" s="31"/>
      <c r="LN10" s="31"/>
      <c r="LO10" s="74"/>
      <c r="LP10" s="74"/>
      <c r="LQ10" s="31"/>
      <c r="LR10" s="31"/>
      <c r="LS10" s="31"/>
      <c r="LT10" s="31"/>
      <c r="LU10" s="31"/>
      <c r="LV10" s="74"/>
      <c r="LW10" s="74"/>
      <c r="LX10" s="31"/>
      <c r="LY10" s="31"/>
      <c r="LZ10" s="31"/>
      <c r="MA10" s="31"/>
      <c r="MB10" s="31"/>
      <c r="MC10" s="74"/>
      <c r="MD10" s="74"/>
      <c r="ME10" s="31"/>
      <c r="MF10" s="31"/>
      <c r="MG10" s="31"/>
      <c r="MH10" s="31"/>
      <c r="MI10" s="31"/>
      <c r="MJ10" s="74"/>
      <c r="MK10" s="74"/>
      <c r="ML10" s="31"/>
      <c r="MM10" s="31"/>
      <c r="MN10" s="31"/>
      <c r="MO10" s="31"/>
      <c r="MP10" s="31"/>
      <c r="MQ10" s="74"/>
      <c r="MR10" s="74"/>
      <c r="MS10" s="31"/>
      <c r="MT10" s="31"/>
      <c r="MU10" s="31"/>
      <c r="MV10" s="31"/>
      <c r="MW10" s="31"/>
      <c r="MX10" s="74"/>
      <c r="MY10" s="74"/>
      <c r="MZ10" s="31"/>
      <c r="NA10" s="31"/>
      <c r="NB10" s="31"/>
      <c r="NC10" s="31"/>
      <c r="ND10" s="31"/>
      <c r="NE10" s="74"/>
      <c r="NF10" s="74"/>
      <c r="NG10" s="31"/>
      <c r="NH10" s="31"/>
      <c r="NI10" s="31"/>
      <c r="NJ10" s="31"/>
      <c r="NK10" s="31"/>
      <c r="NL10" s="74"/>
      <c r="NM10" s="74"/>
      <c r="NN10" s="31"/>
      <c r="NO10" s="31"/>
      <c r="NP10" s="31"/>
      <c r="NQ10" s="31"/>
      <c r="NR10" s="31"/>
      <c r="NS10" s="74"/>
      <c r="NT10" s="74"/>
    </row>
    <row r="11" spans="1:384" s="29" customFormat="1" ht="9" customHeight="1" outlineLevel="2" x14ac:dyDescent="0.2">
      <c r="B11" s="37">
        <v>1.02</v>
      </c>
      <c r="C11" s="35" t="s">
        <v>51</v>
      </c>
      <c r="D11" s="35" t="s">
        <v>50</v>
      </c>
      <c r="E11" s="75"/>
      <c r="F11" s="39"/>
      <c r="G11" s="75"/>
      <c r="H11" s="75"/>
      <c r="I11" s="40"/>
      <c r="J11" s="76"/>
      <c r="K11" s="38"/>
      <c r="L11" s="35"/>
      <c r="N11" s="31"/>
      <c r="O11" s="31"/>
      <c r="P11" s="31"/>
      <c r="Q11" s="31"/>
      <c r="R11" s="31"/>
      <c r="S11" s="74"/>
      <c r="T11" s="74"/>
      <c r="U11" s="31"/>
      <c r="V11" s="31"/>
      <c r="W11" s="31"/>
      <c r="X11" s="31"/>
      <c r="Y11" s="31"/>
      <c r="Z11" s="74"/>
      <c r="AA11" s="74"/>
      <c r="AB11" s="31"/>
      <c r="AC11" s="31"/>
      <c r="AD11" s="31"/>
      <c r="AE11" s="31"/>
      <c r="AF11" s="31"/>
      <c r="AG11" s="74"/>
      <c r="AH11" s="74"/>
      <c r="AI11" s="31"/>
      <c r="AJ11" s="31"/>
      <c r="AK11" s="31"/>
      <c r="AL11" s="31"/>
      <c r="AM11" s="31"/>
      <c r="AN11" s="74"/>
      <c r="AO11" s="74"/>
      <c r="AP11" s="31"/>
      <c r="AQ11" s="31"/>
      <c r="AR11" s="31"/>
      <c r="AS11" s="31"/>
      <c r="AT11" s="31"/>
      <c r="AU11" s="74"/>
      <c r="AV11" s="74"/>
      <c r="AW11" s="31"/>
      <c r="AX11" s="31"/>
      <c r="AY11" s="31"/>
      <c r="AZ11" s="31"/>
      <c r="BA11" s="31"/>
      <c r="BB11" s="74"/>
      <c r="BC11" s="74"/>
      <c r="BD11" s="31"/>
      <c r="BE11" s="31"/>
      <c r="BF11" s="31"/>
      <c r="BG11" s="31"/>
      <c r="BH11" s="31"/>
      <c r="BI11" s="74"/>
      <c r="BJ11" s="74"/>
      <c r="BK11" s="31"/>
      <c r="BL11" s="31"/>
      <c r="BM11" s="31"/>
      <c r="BN11" s="31"/>
      <c r="BO11" s="31"/>
      <c r="BP11" s="74"/>
      <c r="BQ11" s="74"/>
      <c r="BR11" s="31"/>
      <c r="BS11" s="31"/>
      <c r="BT11" s="31"/>
      <c r="BU11" s="31"/>
      <c r="BV11" s="31"/>
      <c r="BW11" s="74"/>
      <c r="BX11" s="74"/>
      <c r="BY11" s="31"/>
      <c r="BZ11" s="31"/>
      <c r="CA11" s="31"/>
      <c r="CB11" s="31"/>
      <c r="CC11" s="31"/>
      <c r="CD11" s="74"/>
      <c r="CE11" s="74"/>
      <c r="CF11" s="31"/>
      <c r="CG11" s="31"/>
      <c r="CH11" s="31"/>
      <c r="CI11" s="31"/>
      <c r="CJ11" s="31"/>
      <c r="CK11" s="74"/>
      <c r="CL11" s="74"/>
      <c r="CM11" s="31"/>
      <c r="CN11" s="31"/>
      <c r="CO11" s="31"/>
      <c r="CP11" s="31"/>
      <c r="CQ11" s="31"/>
      <c r="CR11" s="74"/>
      <c r="CS11" s="74"/>
      <c r="CT11" s="31"/>
      <c r="CU11" s="31"/>
      <c r="CV11" s="31"/>
      <c r="CW11" s="31"/>
      <c r="CX11" s="31"/>
      <c r="CY11" s="74"/>
      <c r="CZ11" s="74"/>
      <c r="DA11" s="31"/>
      <c r="DB11" s="31"/>
      <c r="DC11" s="31"/>
      <c r="DD11" s="31"/>
      <c r="DE11" s="31"/>
      <c r="DF11" s="74"/>
      <c r="DG11" s="74"/>
      <c r="DH11" s="31"/>
      <c r="DI11" s="31"/>
      <c r="DJ11" s="31"/>
      <c r="DK11" s="31"/>
      <c r="DL11" s="31"/>
      <c r="DM11" s="74"/>
      <c r="DN11" s="74"/>
      <c r="DO11" s="31"/>
      <c r="DP11" s="77"/>
      <c r="DQ11" s="31"/>
      <c r="DR11" s="31"/>
      <c r="DS11" s="31"/>
      <c r="DT11" s="74"/>
      <c r="DU11" s="74"/>
      <c r="DV11" s="31"/>
      <c r="DW11" s="31"/>
      <c r="DX11" s="31"/>
      <c r="DY11" s="31"/>
      <c r="DZ11" s="31"/>
      <c r="EA11" s="74"/>
      <c r="EB11" s="74"/>
      <c r="EC11" s="31"/>
      <c r="ED11" s="31"/>
      <c r="EE11" s="31"/>
      <c r="EF11" s="31"/>
      <c r="EG11" s="31"/>
      <c r="EH11" s="74"/>
      <c r="EI11" s="74"/>
      <c r="EJ11" s="31"/>
      <c r="EK11" s="31"/>
      <c r="EL11" s="31"/>
      <c r="EM11" s="31"/>
      <c r="EN11" s="31"/>
      <c r="EO11" s="74"/>
      <c r="EP11" s="74"/>
      <c r="EQ11" s="31"/>
      <c r="ER11" s="31"/>
      <c r="ES11" s="31"/>
      <c r="ET11" s="31"/>
      <c r="EU11" s="31"/>
      <c r="EV11" s="74"/>
      <c r="EW11" s="74"/>
      <c r="EX11" s="31"/>
      <c r="EY11" s="31"/>
      <c r="EZ11" s="31"/>
      <c r="FA11" s="31"/>
      <c r="FB11" s="31"/>
      <c r="FC11" s="74"/>
      <c r="FD11" s="74"/>
      <c r="FE11" s="31"/>
      <c r="FF11" s="31"/>
      <c r="FG11" s="31"/>
      <c r="FH11" s="31"/>
      <c r="FI11" s="31"/>
      <c r="FJ11" s="74"/>
      <c r="FK11" s="74"/>
      <c r="FL11" s="31"/>
      <c r="FM11" s="31"/>
      <c r="FN11" s="31"/>
      <c r="FO11" s="31"/>
      <c r="FP11" s="31"/>
      <c r="FQ11" s="74"/>
      <c r="FR11" s="74"/>
      <c r="FS11" s="31"/>
      <c r="FT11" s="31"/>
      <c r="FU11" s="31"/>
      <c r="FV11" s="31"/>
      <c r="FW11" s="31"/>
      <c r="FX11" s="74"/>
      <c r="FY11" s="74"/>
      <c r="FZ11" s="31"/>
      <c r="GA11" s="31"/>
      <c r="GB11" s="31"/>
      <c r="GC11" s="31"/>
      <c r="GD11" s="31"/>
      <c r="GE11" s="74"/>
      <c r="GF11" s="74"/>
      <c r="GG11" s="31"/>
      <c r="GH11" s="31"/>
      <c r="GI11" s="31"/>
      <c r="GJ11" s="31"/>
      <c r="GK11" s="31"/>
      <c r="GL11" s="74"/>
      <c r="GM11" s="74"/>
      <c r="GN11" s="31"/>
      <c r="GO11" s="31"/>
      <c r="GP11" s="31"/>
      <c r="GQ11" s="31"/>
      <c r="GR11" s="31"/>
      <c r="GS11" s="74"/>
      <c r="GT11" s="74"/>
      <c r="GU11" s="31"/>
      <c r="GV11" s="31"/>
      <c r="GW11" s="31"/>
      <c r="GX11" s="31"/>
      <c r="GY11" s="31"/>
      <c r="GZ11" s="74"/>
      <c r="HA11" s="74"/>
      <c r="HB11" s="31"/>
      <c r="HC11" s="31"/>
      <c r="HD11" s="31"/>
      <c r="HE11" s="31"/>
      <c r="HF11" s="31"/>
      <c r="HG11" s="74"/>
      <c r="HH11" s="74"/>
      <c r="HI11" s="31"/>
      <c r="HJ11" s="31"/>
      <c r="HK11" s="31"/>
      <c r="HL11" s="31"/>
      <c r="HM11" s="31"/>
      <c r="HN11" s="74"/>
      <c r="HO11" s="74"/>
      <c r="HP11" s="31"/>
      <c r="HQ11" s="31"/>
      <c r="HR11" s="31"/>
      <c r="HS11" s="31"/>
      <c r="HT11" s="31"/>
      <c r="HU11" s="74"/>
      <c r="HV11" s="74"/>
      <c r="HW11" s="31"/>
      <c r="HX11" s="31"/>
      <c r="HY11" s="31"/>
      <c r="HZ11" s="31"/>
      <c r="IA11" s="31"/>
      <c r="IB11" s="74"/>
      <c r="IC11" s="74"/>
      <c r="ID11" s="31"/>
      <c r="IE11" s="31"/>
      <c r="IF11" s="31"/>
      <c r="IG11" s="31"/>
      <c r="IH11" s="31"/>
      <c r="II11" s="74"/>
      <c r="IJ11" s="74"/>
      <c r="IK11" s="31"/>
      <c r="IL11" s="31"/>
      <c r="IM11" s="31"/>
      <c r="IN11" s="31"/>
      <c r="IO11" s="31"/>
      <c r="IP11" s="74"/>
      <c r="IQ11" s="74"/>
      <c r="IR11" s="31"/>
      <c r="IS11" s="31"/>
      <c r="IT11" s="31"/>
      <c r="IU11" s="31"/>
      <c r="IV11" s="31"/>
      <c r="IW11" s="74"/>
      <c r="IX11" s="74"/>
      <c r="IY11" s="31"/>
      <c r="IZ11" s="31"/>
      <c r="JA11" s="31"/>
      <c r="JB11" s="31"/>
      <c r="JC11" s="31"/>
      <c r="JD11" s="74"/>
      <c r="JE11" s="74"/>
      <c r="JF11" s="31"/>
      <c r="JG11" s="31"/>
      <c r="JH11" s="31"/>
      <c r="JI11" s="31"/>
      <c r="JJ11" s="31"/>
      <c r="JK11" s="74"/>
      <c r="JL11" s="74"/>
      <c r="JM11" s="31"/>
      <c r="JN11" s="31"/>
      <c r="JO11" s="31"/>
      <c r="JP11" s="31"/>
      <c r="JQ11" s="31"/>
      <c r="JR11" s="74"/>
      <c r="JS11" s="74"/>
      <c r="JT11" s="31"/>
      <c r="JU11" s="31"/>
      <c r="JV11" s="31"/>
      <c r="JW11" s="31"/>
      <c r="JX11" s="31"/>
      <c r="JY11" s="74"/>
      <c r="JZ11" s="74"/>
      <c r="KA11" s="31"/>
      <c r="KB11" s="31"/>
      <c r="KC11" s="31"/>
      <c r="KD11" s="31"/>
      <c r="KE11" s="31"/>
      <c r="KF11" s="74"/>
      <c r="KG11" s="74"/>
      <c r="KH11" s="31"/>
      <c r="KI11" s="31"/>
      <c r="KJ11" s="31"/>
      <c r="KK11" s="31"/>
      <c r="KL11" s="31"/>
      <c r="KM11" s="74"/>
      <c r="KN11" s="74"/>
      <c r="KO11" s="31"/>
      <c r="KP11" s="31"/>
      <c r="KQ11" s="31"/>
      <c r="KR11" s="31"/>
      <c r="KS11" s="31"/>
      <c r="KT11" s="74"/>
      <c r="KU11" s="74"/>
      <c r="KV11" s="31"/>
      <c r="KW11" s="31"/>
      <c r="KX11" s="31"/>
      <c r="KY11" s="31"/>
      <c r="KZ11" s="31"/>
      <c r="LA11" s="74"/>
      <c r="LB11" s="74"/>
      <c r="LC11" s="31"/>
      <c r="LD11" s="31"/>
      <c r="LE11" s="31"/>
      <c r="LF11" s="31"/>
      <c r="LG11" s="31"/>
      <c r="LH11" s="74"/>
      <c r="LI11" s="74"/>
      <c r="LJ11" s="31"/>
      <c r="LK11" s="31"/>
      <c r="LL11" s="31"/>
      <c r="LM11" s="31"/>
      <c r="LN11" s="31"/>
      <c r="LO11" s="74"/>
      <c r="LP11" s="74"/>
      <c r="LQ11" s="31"/>
      <c r="LR11" s="31"/>
      <c r="LS11" s="31"/>
      <c r="LT11" s="31"/>
      <c r="LU11" s="31"/>
      <c r="LV11" s="74"/>
      <c r="LW11" s="74"/>
      <c r="LX11" s="31"/>
      <c r="LY11" s="31"/>
      <c r="LZ11" s="31"/>
      <c r="MA11" s="31"/>
      <c r="MB11" s="31"/>
      <c r="MC11" s="74"/>
      <c r="MD11" s="74"/>
      <c r="ME11" s="31"/>
      <c r="MF11" s="31"/>
      <c r="MG11" s="31"/>
      <c r="MH11" s="31"/>
      <c r="MI11" s="31"/>
      <c r="MJ11" s="74"/>
      <c r="MK11" s="74"/>
      <c r="ML11" s="31"/>
      <c r="MM11" s="31"/>
      <c r="MN11" s="31"/>
      <c r="MO11" s="31"/>
      <c r="MP11" s="31"/>
      <c r="MQ11" s="74"/>
      <c r="MR11" s="74"/>
      <c r="MS11" s="31"/>
      <c r="MT11" s="31"/>
      <c r="MU11" s="31"/>
      <c r="MV11" s="31"/>
      <c r="MW11" s="31"/>
      <c r="MX11" s="74"/>
      <c r="MY11" s="74"/>
      <c r="MZ11" s="31"/>
      <c r="NA11" s="31"/>
      <c r="NB11" s="31"/>
      <c r="NC11" s="31"/>
      <c r="ND11" s="31"/>
      <c r="NE11" s="74"/>
      <c r="NF11" s="74"/>
      <c r="NG11" s="31"/>
      <c r="NH11" s="31"/>
      <c r="NI11" s="31"/>
      <c r="NJ11" s="31"/>
      <c r="NK11" s="31"/>
      <c r="NL11" s="74"/>
      <c r="NM11" s="74"/>
      <c r="NN11" s="31"/>
      <c r="NO11" s="31"/>
      <c r="NP11" s="31"/>
      <c r="NQ11" s="31"/>
      <c r="NR11" s="31"/>
      <c r="NS11" s="74"/>
      <c r="NT11" s="74"/>
    </row>
    <row r="12" spans="1:384" s="29" customFormat="1" ht="9" customHeight="1" outlineLevel="2" x14ac:dyDescent="0.2">
      <c r="B12" s="37">
        <v>1.03</v>
      </c>
      <c r="C12" s="35" t="s">
        <v>52</v>
      </c>
      <c r="D12" s="35" t="s">
        <v>50</v>
      </c>
      <c r="E12" s="61"/>
      <c r="F12" s="39"/>
      <c r="G12" s="61"/>
      <c r="H12" s="61"/>
      <c r="I12" s="40"/>
      <c r="J12" s="62"/>
      <c r="K12" s="38"/>
      <c r="L12" s="35"/>
      <c r="N12" s="31"/>
      <c r="O12" s="31"/>
      <c r="P12" s="31"/>
      <c r="Q12" s="31"/>
      <c r="R12" s="31"/>
      <c r="S12" s="74"/>
      <c r="T12" s="74"/>
      <c r="U12" s="31"/>
      <c r="V12" s="31"/>
      <c r="W12" s="31"/>
      <c r="X12" s="31"/>
      <c r="Y12" s="31"/>
      <c r="Z12" s="74"/>
      <c r="AA12" s="74"/>
      <c r="AB12" s="31"/>
      <c r="AC12" s="31"/>
      <c r="AD12" s="31"/>
      <c r="AE12" s="31"/>
      <c r="AF12" s="31"/>
      <c r="AG12" s="74"/>
      <c r="AH12" s="74"/>
      <c r="AI12" s="31"/>
      <c r="AJ12" s="31"/>
      <c r="AK12" s="31"/>
      <c r="AL12" s="31"/>
      <c r="AM12" s="31"/>
      <c r="AN12" s="74"/>
      <c r="AO12" s="74"/>
      <c r="AP12" s="31"/>
      <c r="AQ12" s="31"/>
      <c r="AR12" s="31"/>
      <c r="AS12" s="31"/>
      <c r="AT12" s="31"/>
      <c r="AU12" s="74"/>
      <c r="AV12" s="74"/>
      <c r="AW12" s="31"/>
      <c r="AX12" s="31"/>
      <c r="AY12" s="31"/>
      <c r="AZ12" s="31"/>
      <c r="BA12" s="31"/>
      <c r="BB12" s="74"/>
      <c r="BC12" s="74"/>
      <c r="BD12" s="31"/>
      <c r="BE12" s="31"/>
      <c r="BF12" s="31"/>
      <c r="BG12" s="31"/>
      <c r="BH12" s="31"/>
      <c r="BI12" s="74"/>
      <c r="BJ12" s="74"/>
      <c r="BK12" s="31"/>
      <c r="BL12" s="31"/>
      <c r="BM12" s="31"/>
      <c r="BN12" s="31"/>
      <c r="BO12" s="31"/>
      <c r="BP12" s="74"/>
      <c r="BQ12" s="74"/>
      <c r="BR12" s="31"/>
      <c r="BS12" s="31"/>
      <c r="BT12" s="31"/>
      <c r="BU12" s="31"/>
      <c r="BV12" s="31"/>
      <c r="BW12" s="74"/>
      <c r="BX12" s="74"/>
      <c r="BY12" s="31"/>
      <c r="BZ12" s="31"/>
      <c r="CA12" s="31"/>
      <c r="CB12" s="31"/>
      <c r="CC12" s="31"/>
      <c r="CD12" s="74"/>
      <c r="CE12" s="74"/>
      <c r="CF12" s="31"/>
      <c r="CG12" s="31"/>
      <c r="CH12" s="31"/>
      <c r="CI12" s="31"/>
      <c r="CJ12" s="31"/>
      <c r="CK12" s="74"/>
      <c r="CL12" s="74"/>
      <c r="CM12" s="31"/>
      <c r="CN12" s="31"/>
      <c r="CO12" s="31"/>
      <c r="CP12" s="31"/>
      <c r="CQ12" s="31"/>
      <c r="CR12" s="74"/>
      <c r="CS12" s="74"/>
      <c r="CT12" s="31"/>
      <c r="CU12" s="31"/>
      <c r="CV12" s="31"/>
      <c r="CW12" s="31"/>
      <c r="CX12" s="31"/>
      <c r="CY12" s="74"/>
      <c r="CZ12" s="74"/>
      <c r="DA12" s="31"/>
      <c r="DB12" s="31"/>
      <c r="DC12" s="31"/>
      <c r="DD12" s="31"/>
      <c r="DE12" s="31"/>
      <c r="DF12" s="74"/>
      <c r="DG12" s="74"/>
      <c r="DH12" s="31"/>
      <c r="DI12" s="31"/>
      <c r="DJ12" s="31"/>
      <c r="DK12" s="31"/>
      <c r="DL12" s="31"/>
      <c r="DM12" s="74"/>
      <c r="DN12" s="74"/>
      <c r="DO12" s="31"/>
      <c r="DP12" s="77"/>
      <c r="DQ12" s="31"/>
      <c r="DR12" s="31"/>
      <c r="DS12" s="31"/>
      <c r="DT12" s="74"/>
      <c r="DU12" s="74"/>
      <c r="DV12" s="31"/>
      <c r="DW12" s="31"/>
      <c r="DX12" s="31"/>
      <c r="DY12" s="31"/>
      <c r="DZ12" s="31"/>
      <c r="EA12" s="74"/>
      <c r="EB12" s="74"/>
      <c r="EC12" s="31"/>
      <c r="ED12" s="31"/>
      <c r="EE12" s="31"/>
      <c r="EF12" s="31"/>
      <c r="EG12" s="31"/>
      <c r="EH12" s="74"/>
      <c r="EI12" s="74"/>
      <c r="EJ12" s="31"/>
      <c r="EK12" s="31"/>
      <c r="EL12" s="31"/>
      <c r="EM12" s="31"/>
      <c r="EN12" s="31"/>
      <c r="EO12" s="74"/>
      <c r="EP12" s="74"/>
      <c r="EQ12" s="31"/>
      <c r="ER12" s="31"/>
      <c r="ES12" s="31"/>
      <c r="ET12" s="31"/>
      <c r="EU12" s="31"/>
      <c r="EV12" s="74"/>
      <c r="EW12" s="74"/>
      <c r="EX12" s="31"/>
      <c r="EY12" s="31"/>
      <c r="EZ12" s="31"/>
      <c r="FA12" s="31"/>
      <c r="FB12" s="31"/>
      <c r="FC12" s="74"/>
      <c r="FD12" s="74"/>
      <c r="FE12" s="31"/>
      <c r="FF12" s="31"/>
      <c r="FG12" s="31"/>
      <c r="FH12" s="31"/>
      <c r="FI12" s="31"/>
      <c r="FJ12" s="74"/>
      <c r="FK12" s="74"/>
      <c r="FL12" s="31"/>
      <c r="FM12" s="31"/>
      <c r="FN12" s="31"/>
      <c r="FO12" s="31"/>
      <c r="FP12" s="31"/>
      <c r="FQ12" s="74"/>
      <c r="FR12" s="74"/>
      <c r="FS12" s="31"/>
      <c r="FT12" s="31"/>
      <c r="FU12" s="31"/>
      <c r="FV12" s="31"/>
      <c r="FW12" s="31"/>
      <c r="FX12" s="74"/>
      <c r="FY12" s="74"/>
      <c r="FZ12" s="31"/>
      <c r="GA12" s="31"/>
      <c r="GB12" s="31"/>
      <c r="GC12" s="31"/>
      <c r="GD12" s="31"/>
      <c r="GE12" s="74"/>
      <c r="GF12" s="74"/>
      <c r="GG12" s="31"/>
      <c r="GH12" s="31"/>
      <c r="GI12" s="31"/>
      <c r="GJ12" s="31"/>
      <c r="GK12" s="31"/>
      <c r="GL12" s="74"/>
      <c r="GM12" s="74"/>
      <c r="GN12" s="31"/>
      <c r="GO12" s="31"/>
      <c r="GP12" s="31"/>
      <c r="GQ12" s="31"/>
      <c r="GR12" s="31"/>
      <c r="GS12" s="74"/>
      <c r="GT12" s="74"/>
      <c r="GU12" s="31"/>
      <c r="GV12" s="31"/>
      <c r="GW12" s="31"/>
      <c r="GX12" s="31"/>
      <c r="GY12" s="31"/>
      <c r="GZ12" s="74"/>
      <c r="HA12" s="74"/>
      <c r="HB12" s="31"/>
      <c r="HC12" s="31"/>
      <c r="HD12" s="31"/>
      <c r="HE12" s="31"/>
      <c r="HF12" s="31"/>
      <c r="HG12" s="74"/>
      <c r="HH12" s="74"/>
      <c r="HI12" s="31"/>
      <c r="HJ12" s="31"/>
      <c r="HK12" s="31"/>
      <c r="HL12" s="31"/>
      <c r="HM12" s="31"/>
      <c r="HN12" s="74"/>
      <c r="HO12" s="74"/>
      <c r="HP12" s="31"/>
      <c r="HQ12" s="31"/>
      <c r="HR12" s="31"/>
      <c r="HS12" s="31"/>
      <c r="HT12" s="31"/>
      <c r="HU12" s="74"/>
      <c r="HV12" s="74"/>
      <c r="HW12" s="31"/>
      <c r="HX12" s="31"/>
      <c r="HY12" s="31"/>
      <c r="HZ12" s="31"/>
      <c r="IA12" s="31"/>
      <c r="IB12" s="74"/>
      <c r="IC12" s="74"/>
      <c r="ID12" s="31"/>
      <c r="IE12" s="31"/>
      <c r="IF12" s="31"/>
      <c r="IG12" s="31"/>
      <c r="IH12" s="31"/>
      <c r="II12" s="74"/>
      <c r="IJ12" s="74"/>
      <c r="IK12" s="31"/>
      <c r="IL12" s="31"/>
      <c r="IM12" s="31"/>
      <c r="IN12" s="31"/>
      <c r="IO12" s="31"/>
      <c r="IP12" s="74"/>
      <c r="IQ12" s="74"/>
      <c r="IR12" s="31"/>
      <c r="IS12" s="31"/>
      <c r="IT12" s="31"/>
      <c r="IU12" s="31"/>
      <c r="IV12" s="31"/>
      <c r="IW12" s="74"/>
      <c r="IX12" s="74"/>
      <c r="IY12" s="31"/>
      <c r="IZ12" s="31"/>
      <c r="JA12" s="31"/>
      <c r="JB12" s="31"/>
      <c r="JC12" s="31"/>
      <c r="JD12" s="74"/>
      <c r="JE12" s="74"/>
      <c r="JF12" s="31"/>
      <c r="JG12" s="31"/>
      <c r="JH12" s="31"/>
      <c r="JI12" s="31"/>
      <c r="JJ12" s="31"/>
      <c r="JK12" s="74"/>
      <c r="JL12" s="74"/>
      <c r="JM12" s="31"/>
      <c r="JN12" s="31"/>
      <c r="JO12" s="31"/>
      <c r="JP12" s="31"/>
      <c r="JQ12" s="31"/>
      <c r="JR12" s="74"/>
      <c r="JS12" s="74"/>
      <c r="JT12" s="31"/>
      <c r="JU12" s="31"/>
      <c r="JV12" s="31"/>
      <c r="JW12" s="31"/>
      <c r="JX12" s="31"/>
      <c r="JY12" s="74"/>
      <c r="JZ12" s="74"/>
      <c r="KA12" s="31"/>
      <c r="KB12" s="31"/>
      <c r="KC12" s="31"/>
      <c r="KD12" s="31"/>
      <c r="KE12" s="31"/>
      <c r="KF12" s="74"/>
      <c r="KG12" s="74"/>
      <c r="KH12" s="31"/>
      <c r="KI12" s="31"/>
      <c r="KJ12" s="31"/>
      <c r="KK12" s="31"/>
      <c r="KL12" s="31"/>
      <c r="KM12" s="74"/>
      <c r="KN12" s="74"/>
      <c r="KO12" s="31"/>
      <c r="KP12" s="31"/>
      <c r="KQ12" s="31"/>
      <c r="KR12" s="31"/>
      <c r="KS12" s="31"/>
      <c r="KT12" s="74"/>
      <c r="KU12" s="74"/>
      <c r="KV12" s="31"/>
      <c r="KW12" s="31"/>
      <c r="KX12" s="31"/>
      <c r="KY12" s="31"/>
      <c r="KZ12" s="31"/>
      <c r="LA12" s="74"/>
      <c r="LB12" s="74"/>
      <c r="LC12" s="31"/>
      <c r="LD12" s="31"/>
      <c r="LE12" s="31"/>
      <c r="LF12" s="31"/>
      <c r="LG12" s="31"/>
      <c r="LH12" s="74"/>
      <c r="LI12" s="74"/>
      <c r="LJ12" s="31"/>
      <c r="LK12" s="31"/>
      <c r="LL12" s="31"/>
      <c r="LM12" s="31"/>
      <c r="LN12" s="31"/>
      <c r="LO12" s="74"/>
      <c r="LP12" s="74"/>
      <c r="LQ12" s="31"/>
      <c r="LR12" s="31"/>
      <c r="LS12" s="31"/>
      <c r="LT12" s="31"/>
      <c r="LU12" s="31"/>
      <c r="LV12" s="74"/>
      <c r="LW12" s="74"/>
      <c r="LX12" s="31"/>
      <c r="LY12" s="31"/>
      <c r="LZ12" s="31"/>
      <c r="MA12" s="31"/>
      <c r="MB12" s="31"/>
      <c r="MC12" s="74"/>
      <c r="MD12" s="74"/>
      <c r="ME12" s="31"/>
      <c r="MF12" s="31"/>
      <c r="MG12" s="31"/>
      <c r="MH12" s="31"/>
      <c r="MI12" s="31"/>
      <c r="MJ12" s="74"/>
      <c r="MK12" s="74"/>
      <c r="ML12" s="31"/>
      <c r="MM12" s="31"/>
      <c r="MN12" s="31"/>
      <c r="MO12" s="31"/>
      <c r="MP12" s="31"/>
      <c r="MQ12" s="74"/>
      <c r="MR12" s="74"/>
      <c r="MS12" s="31"/>
      <c r="MT12" s="31"/>
      <c r="MU12" s="31"/>
      <c r="MV12" s="31"/>
      <c r="MW12" s="31"/>
      <c r="MX12" s="74"/>
      <c r="MY12" s="74"/>
      <c r="MZ12" s="31"/>
      <c r="NA12" s="31"/>
      <c r="NB12" s="31"/>
      <c r="NC12" s="31"/>
      <c r="ND12" s="31"/>
      <c r="NE12" s="74"/>
      <c r="NF12" s="74"/>
      <c r="NG12" s="31"/>
      <c r="NH12" s="31"/>
      <c r="NI12" s="31"/>
      <c r="NJ12" s="31"/>
      <c r="NK12" s="31"/>
      <c r="NL12" s="74"/>
      <c r="NM12" s="74"/>
      <c r="NN12" s="31"/>
      <c r="NO12" s="31"/>
      <c r="NP12" s="31"/>
      <c r="NQ12" s="31"/>
      <c r="NR12" s="31"/>
      <c r="NS12" s="74"/>
      <c r="NT12" s="74"/>
    </row>
    <row r="13" spans="1:384" s="29" customFormat="1" ht="9" customHeight="1" outlineLevel="2" x14ac:dyDescent="0.2">
      <c r="B13" s="37">
        <v>1.04</v>
      </c>
      <c r="C13" s="35" t="s">
        <v>53</v>
      </c>
      <c r="D13" s="35"/>
      <c r="E13" s="75"/>
      <c r="F13" s="39"/>
      <c r="G13" s="75"/>
      <c r="H13" s="75"/>
      <c r="I13" s="40"/>
      <c r="J13" s="76"/>
      <c r="K13" s="38"/>
      <c r="L13" s="35"/>
      <c r="N13" s="31"/>
      <c r="O13" s="31"/>
      <c r="P13" s="31"/>
      <c r="Q13" s="31"/>
      <c r="R13" s="31"/>
      <c r="S13" s="74"/>
      <c r="T13" s="74"/>
      <c r="U13" s="31"/>
      <c r="V13" s="31"/>
      <c r="W13" s="31"/>
      <c r="X13" s="31"/>
      <c r="Y13" s="31"/>
      <c r="Z13" s="74"/>
      <c r="AA13" s="74"/>
      <c r="AB13" s="31"/>
      <c r="AC13" s="31"/>
      <c r="AD13" s="31"/>
      <c r="AE13" s="31"/>
      <c r="AF13" s="31"/>
      <c r="AG13" s="74"/>
      <c r="AH13" s="74"/>
      <c r="AI13" s="31"/>
      <c r="AJ13" s="31"/>
      <c r="AK13" s="31"/>
      <c r="AL13" s="31"/>
      <c r="AM13" s="31"/>
      <c r="AN13" s="74"/>
      <c r="AO13" s="74"/>
      <c r="AP13" s="31"/>
      <c r="AQ13" s="31"/>
      <c r="AR13" s="31"/>
      <c r="AS13" s="31"/>
      <c r="AT13" s="31"/>
      <c r="AU13" s="74"/>
      <c r="AV13" s="74"/>
      <c r="AW13" s="31"/>
      <c r="AX13" s="31"/>
      <c r="AY13" s="31"/>
      <c r="AZ13" s="31"/>
      <c r="BA13" s="31"/>
      <c r="BB13" s="74"/>
      <c r="BC13" s="74"/>
      <c r="BD13" s="31"/>
      <c r="BE13" s="31"/>
      <c r="BF13" s="31"/>
      <c r="BG13" s="31"/>
      <c r="BH13" s="31"/>
      <c r="BI13" s="74"/>
      <c r="BJ13" s="74"/>
      <c r="BK13" s="31"/>
      <c r="BL13" s="31"/>
      <c r="BM13" s="31"/>
      <c r="BN13" s="31"/>
      <c r="BO13" s="31"/>
      <c r="BP13" s="74"/>
      <c r="BQ13" s="74"/>
      <c r="BR13" s="31"/>
      <c r="BS13" s="31"/>
      <c r="BT13" s="31"/>
      <c r="BU13" s="31"/>
      <c r="BV13" s="31"/>
      <c r="BW13" s="74"/>
      <c r="BX13" s="74"/>
      <c r="BY13" s="31"/>
      <c r="BZ13" s="31"/>
      <c r="CA13" s="31"/>
      <c r="CB13" s="31"/>
      <c r="CC13" s="31"/>
      <c r="CD13" s="74"/>
      <c r="CE13" s="74"/>
      <c r="CF13" s="31"/>
      <c r="CG13" s="31"/>
      <c r="CH13" s="31"/>
      <c r="CI13" s="31"/>
      <c r="CJ13" s="31"/>
      <c r="CK13" s="74"/>
      <c r="CL13" s="74"/>
      <c r="CM13" s="31"/>
      <c r="CN13" s="31"/>
      <c r="CO13" s="31"/>
      <c r="CP13" s="31"/>
      <c r="CQ13" s="31"/>
      <c r="CR13" s="74"/>
      <c r="CS13" s="74"/>
      <c r="CT13" s="31"/>
      <c r="CU13" s="31"/>
      <c r="CV13" s="31"/>
      <c r="CW13" s="31"/>
      <c r="CX13" s="31"/>
      <c r="CY13" s="74"/>
      <c r="CZ13" s="74"/>
      <c r="DA13" s="31"/>
      <c r="DB13" s="31"/>
      <c r="DC13" s="31"/>
      <c r="DD13" s="31"/>
      <c r="DE13" s="31"/>
      <c r="DF13" s="74"/>
      <c r="DG13" s="74"/>
      <c r="DH13" s="31"/>
      <c r="DI13" s="31"/>
      <c r="DJ13" s="31"/>
      <c r="DK13" s="31"/>
      <c r="DL13" s="31"/>
      <c r="DM13" s="74"/>
      <c r="DN13" s="74"/>
      <c r="DO13" s="31"/>
      <c r="DP13" s="77"/>
      <c r="DQ13" s="31"/>
      <c r="DR13" s="31"/>
      <c r="DS13" s="31"/>
      <c r="DT13" s="74"/>
      <c r="DU13" s="74"/>
      <c r="DV13" s="31"/>
      <c r="DW13" s="31"/>
      <c r="DX13" s="31"/>
      <c r="DY13" s="31"/>
      <c r="DZ13" s="31"/>
      <c r="EA13" s="74"/>
      <c r="EB13" s="74"/>
      <c r="EC13" s="31"/>
      <c r="ED13" s="31"/>
      <c r="EE13" s="31"/>
      <c r="EF13" s="31"/>
      <c r="EG13" s="31"/>
      <c r="EH13" s="74"/>
      <c r="EI13" s="74"/>
      <c r="EJ13" s="31"/>
      <c r="EK13" s="31"/>
      <c r="EL13" s="31"/>
      <c r="EM13" s="31"/>
      <c r="EN13" s="31"/>
      <c r="EO13" s="74"/>
      <c r="EP13" s="74"/>
      <c r="EQ13" s="31"/>
      <c r="ER13" s="31"/>
      <c r="ES13" s="31"/>
      <c r="ET13" s="31"/>
      <c r="EU13" s="31"/>
      <c r="EV13" s="74"/>
      <c r="EW13" s="74"/>
      <c r="EX13" s="31"/>
      <c r="EY13" s="31"/>
      <c r="EZ13" s="31"/>
      <c r="FA13" s="31"/>
      <c r="FB13" s="31"/>
      <c r="FC13" s="74"/>
      <c r="FD13" s="74"/>
      <c r="FE13" s="31"/>
      <c r="FF13" s="31"/>
      <c r="FG13" s="31"/>
      <c r="FH13" s="31"/>
      <c r="FI13" s="31"/>
      <c r="FJ13" s="74"/>
      <c r="FK13" s="74"/>
      <c r="FL13" s="31"/>
      <c r="FM13" s="31"/>
      <c r="FN13" s="31"/>
      <c r="FO13" s="31"/>
      <c r="FP13" s="31"/>
      <c r="FQ13" s="74"/>
      <c r="FR13" s="74"/>
      <c r="FS13" s="31"/>
      <c r="FT13" s="31"/>
      <c r="FU13" s="31"/>
      <c r="FV13" s="31"/>
      <c r="FW13" s="31"/>
      <c r="FX13" s="74"/>
      <c r="FY13" s="74"/>
      <c r="FZ13" s="31"/>
      <c r="GA13" s="31"/>
      <c r="GB13" s="31"/>
      <c r="GC13" s="31"/>
      <c r="GD13" s="31"/>
      <c r="GE13" s="74"/>
      <c r="GF13" s="74"/>
      <c r="GG13" s="31"/>
      <c r="GH13" s="31"/>
      <c r="GI13" s="31"/>
      <c r="GJ13" s="31"/>
      <c r="GK13" s="31"/>
      <c r="GL13" s="74"/>
      <c r="GM13" s="74"/>
      <c r="GN13" s="31"/>
      <c r="GO13" s="31"/>
      <c r="GP13" s="31"/>
      <c r="GQ13" s="31"/>
      <c r="GR13" s="31"/>
      <c r="GS13" s="74"/>
      <c r="GT13" s="74"/>
      <c r="GU13" s="31"/>
      <c r="GV13" s="31"/>
      <c r="GW13" s="31"/>
      <c r="GX13" s="31"/>
      <c r="GY13" s="31"/>
      <c r="GZ13" s="74"/>
      <c r="HA13" s="74"/>
      <c r="HB13" s="31"/>
      <c r="HC13" s="31"/>
      <c r="HD13" s="31"/>
      <c r="HE13" s="31"/>
      <c r="HF13" s="31"/>
      <c r="HG13" s="74"/>
      <c r="HH13" s="74"/>
      <c r="HI13" s="31"/>
      <c r="HJ13" s="31"/>
      <c r="HK13" s="31"/>
      <c r="HL13" s="31"/>
      <c r="HM13" s="31"/>
      <c r="HN13" s="74"/>
      <c r="HO13" s="74"/>
      <c r="HP13" s="31"/>
      <c r="HQ13" s="31"/>
      <c r="HR13" s="31"/>
      <c r="HS13" s="31"/>
      <c r="HT13" s="31"/>
      <c r="HU13" s="74"/>
      <c r="HV13" s="74"/>
      <c r="HW13" s="31"/>
      <c r="HX13" s="31"/>
      <c r="HY13" s="31"/>
      <c r="HZ13" s="31"/>
      <c r="IA13" s="31"/>
      <c r="IB13" s="74"/>
      <c r="IC13" s="74"/>
      <c r="ID13" s="31"/>
      <c r="IE13" s="31"/>
      <c r="IF13" s="31"/>
      <c r="IG13" s="31"/>
      <c r="IH13" s="31"/>
      <c r="II13" s="74"/>
      <c r="IJ13" s="74"/>
      <c r="IK13" s="31"/>
      <c r="IL13" s="31"/>
      <c r="IM13" s="31"/>
      <c r="IN13" s="31"/>
      <c r="IO13" s="31"/>
      <c r="IP13" s="74"/>
      <c r="IQ13" s="74"/>
      <c r="IR13" s="31"/>
      <c r="IS13" s="31"/>
      <c r="IT13" s="31"/>
      <c r="IU13" s="31"/>
      <c r="IV13" s="31"/>
      <c r="IW13" s="74"/>
      <c r="IX13" s="74"/>
      <c r="IY13" s="31"/>
      <c r="IZ13" s="31"/>
      <c r="JA13" s="31"/>
      <c r="JB13" s="31"/>
      <c r="JC13" s="31"/>
      <c r="JD13" s="74"/>
      <c r="JE13" s="74"/>
      <c r="JF13" s="31"/>
      <c r="JG13" s="31"/>
      <c r="JH13" s="31"/>
      <c r="JI13" s="31"/>
      <c r="JJ13" s="31"/>
      <c r="JK13" s="74"/>
      <c r="JL13" s="74"/>
      <c r="JM13" s="31"/>
      <c r="JN13" s="31"/>
      <c r="JO13" s="31"/>
      <c r="JP13" s="31"/>
      <c r="JQ13" s="31"/>
      <c r="JR13" s="74"/>
      <c r="JS13" s="74"/>
      <c r="JT13" s="31"/>
      <c r="JU13" s="31"/>
      <c r="JV13" s="31"/>
      <c r="JW13" s="31"/>
      <c r="JX13" s="31"/>
      <c r="JY13" s="74"/>
      <c r="JZ13" s="74"/>
      <c r="KA13" s="31"/>
      <c r="KB13" s="31"/>
      <c r="KC13" s="31"/>
      <c r="KD13" s="31"/>
      <c r="KE13" s="31"/>
      <c r="KF13" s="74"/>
      <c r="KG13" s="74"/>
      <c r="KH13" s="31"/>
      <c r="KI13" s="31"/>
      <c r="KJ13" s="31"/>
      <c r="KK13" s="31"/>
      <c r="KL13" s="31"/>
      <c r="KM13" s="74"/>
      <c r="KN13" s="74"/>
      <c r="KO13" s="31"/>
      <c r="KP13" s="31"/>
      <c r="KQ13" s="31"/>
      <c r="KR13" s="31"/>
      <c r="KS13" s="31"/>
      <c r="KT13" s="74"/>
      <c r="KU13" s="74"/>
      <c r="KV13" s="31"/>
      <c r="KW13" s="31"/>
      <c r="KX13" s="31"/>
      <c r="KY13" s="31"/>
      <c r="KZ13" s="31"/>
      <c r="LA13" s="74"/>
      <c r="LB13" s="74"/>
      <c r="LC13" s="31"/>
      <c r="LD13" s="31"/>
      <c r="LE13" s="31"/>
      <c r="LF13" s="31"/>
      <c r="LG13" s="31"/>
      <c r="LH13" s="74"/>
      <c r="LI13" s="74"/>
      <c r="LJ13" s="31"/>
      <c r="LK13" s="31"/>
      <c r="LL13" s="31"/>
      <c r="LM13" s="31"/>
      <c r="LN13" s="31"/>
      <c r="LO13" s="74"/>
      <c r="LP13" s="74"/>
      <c r="LQ13" s="31"/>
      <c r="LR13" s="31"/>
      <c r="LS13" s="31"/>
      <c r="LT13" s="31"/>
      <c r="LU13" s="31"/>
      <c r="LV13" s="74"/>
      <c r="LW13" s="74"/>
      <c r="LX13" s="31"/>
      <c r="LY13" s="31"/>
      <c r="LZ13" s="31"/>
      <c r="MA13" s="31"/>
      <c r="MB13" s="31"/>
      <c r="MC13" s="74"/>
      <c r="MD13" s="74"/>
      <c r="ME13" s="31"/>
      <c r="MF13" s="31"/>
      <c r="MG13" s="31"/>
      <c r="MH13" s="31"/>
      <c r="MI13" s="31"/>
      <c r="MJ13" s="74"/>
      <c r="MK13" s="74"/>
      <c r="ML13" s="31"/>
      <c r="MM13" s="31"/>
      <c r="MN13" s="31"/>
      <c r="MO13" s="31"/>
      <c r="MP13" s="31"/>
      <c r="MQ13" s="74"/>
      <c r="MR13" s="74"/>
      <c r="MS13" s="31"/>
      <c r="MT13" s="31"/>
      <c r="MU13" s="31"/>
      <c r="MV13" s="31"/>
      <c r="MW13" s="31"/>
      <c r="MX13" s="74"/>
      <c r="MY13" s="74"/>
      <c r="MZ13" s="31"/>
      <c r="NA13" s="31"/>
      <c r="NB13" s="31"/>
      <c r="NC13" s="31"/>
      <c r="ND13" s="31"/>
      <c r="NE13" s="74"/>
      <c r="NF13" s="74"/>
      <c r="NG13" s="31"/>
      <c r="NH13" s="31"/>
      <c r="NI13" s="31"/>
      <c r="NJ13" s="31"/>
      <c r="NK13" s="31"/>
      <c r="NL13" s="74"/>
      <c r="NM13" s="74"/>
      <c r="NN13" s="31"/>
      <c r="NO13" s="31"/>
      <c r="NP13" s="31"/>
      <c r="NQ13" s="31"/>
      <c r="NR13" s="31"/>
      <c r="NS13" s="74"/>
      <c r="NT13" s="74"/>
    </row>
    <row r="14" spans="1:384" s="29" customFormat="1" ht="9" customHeight="1" outlineLevel="2" x14ac:dyDescent="0.2">
      <c r="B14" s="37">
        <v>1.05</v>
      </c>
      <c r="C14" s="35" t="s">
        <v>47</v>
      </c>
      <c r="D14" s="35"/>
      <c r="E14" s="61"/>
      <c r="F14" s="39"/>
      <c r="G14" s="61"/>
      <c r="H14" s="61"/>
      <c r="I14" s="40"/>
      <c r="J14" s="62"/>
      <c r="K14" s="38"/>
      <c r="L14" s="35"/>
      <c r="N14" s="31"/>
      <c r="O14" s="31"/>
      <c r="P14" s="31"/>
      <c r="Q14" s="31"/>
      <c r="R14" s="31"/>
      <c r="S14" s="74"/>
      <c r="T14" s="74"/>
      <c r="U14" s="31"/>
      <c r="V14" s="31"/>
      <c r="W14" s="31"/>
      <c r="X14" s="31"/>
      <c r="Y14" s="31"/>
      <c r="Z14" s="74"/>
      <c r="AA14" s="74"/>
      <c r="AB14" s="31"/>
      <c r="AC14" s="31"/>
      <c r="AD14" s="31"/>
      <c r="AE14" s="31"/>
      <c r="AF14" s="31"/>
      <c r="AG14" s="74"/>
      <c r="AH14" s="74"/>
      <c r="AI14" s="31"/>
      <c r="AJ14" s="31"/>
      <c r="AK14" s="31"/>
      <c r="AL14" s="31"/>
      <c r="AM14" s="31"/>
      <c r="AN14" s="74"/>
      <c r="AO14" s="74"/>
      <c r="AP14" s="31"/>
      <c r="AQ14" s="31"/>
      <c r="AR14" s="31"/>
      <c r="AS14" s="31"/>
      <c r="AT14" s="31"/>
      <c r="AU14" s="74"/>
      <c r="AV14" s="74"/>
      <c r="AW14" s="31"/>
      <c r="AX14" s="31"/>
      <c r="AY14" s="31"/>
      <c r="AZ14" s="31"/>
      <c r="BA14" s="31"/>
      <c r="BB14" s="74"/>
      <c r="BC14" s="74"/>
      <c r="BD14" s="31"/>
      <c r="BE14" s="31"/>
      <c r="BF14" s="31"/>
      <c r="BG14" s="31"/>
      <c r="BH14" s="31"/>
      <c r="BI14" s="74"/>
      <c r="BJ14" s="74"/>
      <c r="BK14" s="31"/>
      <c r="BL14" s="31"/>
      <c r="BM14" s="31"/>
      <c r="BN14" s="31"/>
      <c r="BO14" s="31"/>
      <c r="BP14" s="74"/>
      <c r="BQ14" s="74"/>
      <c r="BR14" s="31"/>
      <c r="BS14" s="31"/>
      <c r="BT14" s="31"/>
      <c r="BU14" s="31"/>
      <c r="BV14" s="31"/>
      <c r="BW14" s="74"/>
      <c r="BX14" s="74"/>
      <c r="BY14" s="31"/>
      <c r="BZ14" s="31"/>
      <c r="CA14" s="31"/>
      <c r="CB14" s="31"/>
      <c r="CC14" s="31"/>
      <c r="CD14" s="74"/>
      <c r="CE14" s="74"/>
      <c r="CF14" s="31"/>
      <c r="CG14" s="31"/>
      <c r="CH14" s="31"/>
      <c r="CI14" s="31"/>
      <c r="CJ14" s="31"/>
      <c r="CK14" s="74"/>
      <c r="CL14" s="74"/>
      <c r="CM14" s="31"/>
      <c r="CN14" s="31"/>
      <c r="CO14" s="31"/>
      <c r="CP14" s="31"/>
      <c r="CQ14" s="31"/>
      <c r="CR14" s="74"/>
      <c r="CS14" s="74"/>
      <c r="CT14" s="31"/>
      <c r="CU14" s="31"/>
      <c r="CV14" s="31"/>
      <c r="CW14" s="31"/>
      <c r="CX14" s="31"/>
      <c r="CY14" s="74"/>
      <c r="CZ14" s="74"/>
      <c r="DA14" s="31"/>
      <c r="DB14" s="31"/>
      <c r="DC14" s="31"/>
      <c r="DD14" s="31"/>
      <c r="DE14" s="31"/>
      <c r="DF14" s="74"/>
      <c r="DG14" s="74"/>
      <c r="DH14" s="31"/>
      <c r="DI14" s="31"/>
      <c r="DJ14" s="31"/>
      <c r="DK14" s="31"/>
      <c r="DL14" s="31"/>
      <c r="DM14" s="74"/>
      <c r="DN14" s="74"/>
      <c r="DO14" s="31"/>
      <c r="DP14" s="77"/>
      <c r="DQ14" s="31"/>
      <c r="DR14" s="31"/>
      <c r="DS14" s="31"/>
      <c r="DT14" s="74"/>
      <c r="DU14" s="74"/>
      <c r="DV14" s="31"/>
      <c r="DW14" s="31"/>
      <c r="DX14" s="31"/>
      <c r="DY14" s="31"/>
      <c r="DZ14" s="31"/>
      <c r="EA14" s="74"/>
      <c r="EB14" s="74"/>
      <c r="EC14" s="31"/>
      <c r="ED14" s="31"/>
      <c r="EE14" s="31"/>
      <c r="EF14" s="31"/>
      <c r="EG14" s="31"/>
      <c r="EH14" s="74"/>
      <c r="EI14" s="74"/>
      <c r="EJ14" s="31"/>
      <c r="EK14" s="31"/>
      <c r="EL14" s="31"/>
      <c r="EM14" s="31"/>
      <c r="EN14" s="31"/>
      <c r="EO14" s="74"/>
      <c r="EP14" s="74"/>
      <c r="EQ14" s="31"/>
      <c r="ER14" s="31"/>
      <c r="ES14" s="31"/>
      <c r="ET14" s="31"/>
      <c r="EU14" s="31"/>
      <c r="EV14" s="74"/>
      <c r="EW14" s="74"/>
      <c r="EX14" s="31"/>
      <c r="EY14" s="31"/>
      <c r="EZ14" s="31"/>
      <c r="FA14" s="31"/>
      <c r="FB14" s="31"/>
      <c r="FC14" s="74"/>
      <c r="FD14" s="74"/>
      <c r="FE14" s="31"/>
      <c r="FF14" s="31"/>
      <c r="FG14" s="31"/>
      <c r="FH14" s="31"/>
      <c r="FI14" s="31"/>
      <c r="FJ14" s="74"/>
      <c r="FK14" s="74"/>
      <c r="FL14" s="31"/>
      <c r="FM14" s="31"/>
      <c r="FN14" s="31"/>
      <c r="FO14" s="31"/>
      <c r="FP14" s="31"/>
      <c r="FQ14" s="74"/>
      <c r="FR14" s="74"/>
      <c r="FS14" s="31"/>
      <c r="FT14" s="31"/>
      <c r="FU14" s="31"/>
      <c r="FV14" s="31"/>
      <c r="FW14" s="31"/>
      <c r="FX14" s="74"/>
      <c r="FY14" s="74"/>
      <c r="FZ14" s="31"/>
      <c r="GA14" s="31"/>
      <c r="GB14" s="31"/>
      <c r="GC14" s="31"/>
      <c r="GD14" s="31"/>
      <c r="GE14" s="74"/>
      <c r="GF14" s="74"/>
      <c r="GG14" s="31"/>
      <c r="GH14" s="31"/>
      <c r="GI14" s="31"/>
      <c r="GJ14" s="31"/>
      <c r="GK14" s="31"/>
      <c r="GL14" s="74"/>
      <c r="GM14" s="74"/>
      <c r="GN14" s="31"/>
      <c r="GO14" s="31"/>
      <c r="GP14" s="31"/>
      <c r="GQ14" s="31"/>
      <c r="GR14" s="31"/>
      <c r="GS14" s="74"/>
      <c r="GT14" s="74"/>
      <c r="GU14" s="31"/>
      <c r="GV14" s="31"/>
      <c r="GW14" s="31"/>
      <c r="GX14" s="31"/>
      <c r="GY14" s="31"/>
      <c r="GZ14" s="74"/>
      <c r="HA14" s="74"/>
      <c r="HB14" s="31"/>
      <c r="HC14" s="31"/>
      <c r="HD14" s="31"/>
      <c r="HE14" s="31"/>
      <c r="HF14" s="31"/>
      <c r="HG14" s="74"/>
      <c r="HH14" s="74"/>
      <c r="HI14" s="31"/>
      <c r="HJ14" s="31"/>
      <c r="HK14" s="31"/>
      <c r="HL14" s="31"/>
      <c r="HM14" s="31"/>
      <c r="HN14" s="74"/>
      <c r="HO14" s="74"/>
      <c r="HP14" s="31"/>
      <c r="HQ14" s="31"/>
      <c r="HR14" s="31"/>
      <c r="HS14" s="31"/>
      <c r="HT14" s="31"/>
      <c r="HU14" s="74"/>
      <c r="HV14" s="74"/>
      <c r="HW14" s="31"/>
      <c r="HX14" s="31"/>
      <c r="HY14" s="31"/>
      <c r="HZ14" s="31"/>
      <c r="IA14" s="31"/>
      <c r="IB14" s="74"/>
      <c r="IC14" s="74"/>
      <c r="ID14" s="31"/>
      <c r="IE14" s="31"/>
      <c r="IF14" s="31"/>
      <c r="IG14" s="31"/>
      <c r="IH14" s="31"/>
      <c r="II14" s="74"/>
      <c r="IJ14" s="74"/>
      <c r="IK14" s="31"/>
      <c r="IL14" s="31"/>
      <c r="IM14" s="31"/>
      <c r="IN14" s="31"/>
      <c r="IO14" s="31"/>
      <c r="IP14" s="74"/>
      <c r="IQ14" s="74"/>
      <c r="IR14" s="31"/>
      <c r="IS14" s="31"/>
      <c r="IT14" s="31"/>
      <c r="IU14" s="31"/>
      <c r="IV14" s="31"/>
      <c r="IW14" s="74"/>
      <c r="IX14" s="74"/>
      <c r="IY14" s="31"/>
      <c r="IZ14" s="31"/>
      <c r="JA14" s="31"/>
      <c r="JB14" s="31"/>
      <c r="JC14" s="31"/>
      <c r="JD14" s="74"/>
      <c r="JE14" s="74"/>
      <c r="JF14" s="31"/>
      <c r="JG14" s="31"/>
      <c r="JH14" s="31"/>
      <c r="JI14" s="31"/>
      <c r="JJ14" s="31"/>
      <c r="JK14" s="74"/>
      <c r="JL14" s="74"/>
      <c r="JM14" s="31"/>
      <c r="JN14" s="31"/>
      <c r="JO14" s="31"/>
      <c r="JP14" s="31"/>
      <c r="JQ14" s="31"/>
      <c r="JR14" s="74"/>
      <c r="JS14" s="74"/>
      <c r="JT14" s="31"/>
      <c r="JU14" s="31"/>
      <c r="JV14" s="31"/>
      <c r="JW14" s="31"/>
      <c r="JX14" s="31"/>
      <c r="JY14" s="74"/>
      <c r="JZ14" s="74"/>
      <c r="KA14" s="31"/>
      <c r="KB14" s="31"/>
      <c r="KC14" s="31"/>
      <c r="KD14" s="31"/>
      <c r="KE14" s="31"/>
      <c r="KF14" s="74"/>
      <c r="KG14" s="74"/>
      <c r="KH14" s="31"/>
      <c r="KI14" s="31"/>
      <c r="KJ14" s="31"/>
      <c r="KK14" s="31"/>
      <c r="KL14" s="31"/>
      <c r="KM14" s="74"/>
      <c r="KN14" s="74"/>
      <c r="KO14" s="31"/>
      <c r="KP14" s="31"/>
      <c r="KQ14" s="31"/>
      <c r="KR14" s="31"/>
      <c r="KS14" s="31"/>
      <c r="KT14" s="74"/>
      <c r="KU14" s="74"/>
      <c r="KV14" s="31"/>
      <c r="KW14" s="31"/>
      <c r="KX14" s="31"/>
      <c r="KY14" s="31"/>
      <c r="KZ14" s="31"/>
      <c r="LA14" s="74"/>
      <c r="LB14" s="74"/>
      <c r="LC14" s="31"/>
      <c r="LD14" s="31"/>
      <c r="LE14" s="31"/>
      <c r="LF14" s="31"/>
      <c r="LG14" s="31"/>
      <c r="LH14" s="74"/>
      <c r="LI14" s="74"/>
      <c r="LJ14" s="31"/>
      <c r="LK14" s="31"/>
      <c r="LL14" s="31"/>
      <c r="LM14" s="31"/>
      <c r="LN14" s="31"/>
      <c r="LO14" s="74"/>
      <c r="LP14" s="74"/>
      <c r="LQ14" s="31"/>
      <c r="LR14" s="31"/>
      <c r="LS14" s="31"/>
      <c r="LT14" s="31"/>
      <c r="LU14" s="31"/>
      <c r="LV14" s="74"/>
      <c r="LW14" s="74"/>
      <c r="LX14" s="31"/>
      <c r="LY14" s="31"/>
      <c r="LZ14" s="31"/>
      <c r="MA14" s="31"/>
      <c r="MB14" s="31"/>
      <c r="MC14" s="74"/>
      <c r="MD14" s="74"/>
      <c r="ME14" s="31"/>
      <c r="MF14" s="31"/>
      <c r="MG14" s="31"/>
      <c r="MH14" s="31"/>
      <c r="MI14" s="31"/>
      <c r="MJ14" s="74"/>
      <c r="MK14" s="74"/>
      <c r="ML14" s="31"/>
      <c r="MM14" s="31"/>
      <c r="MN14" s="31"/>
      <c r="MO14" s="31"/>
      <c r="MP14" s="31"/>
      <c r="MQ14" s="74"/>
      <c r="MR14" s="74"/>
      <c r="MS14" s="31"/>
      <c r="MT14" s="31"/>
      <c r="MU14" s="31"/>
      <c r="MV14" s="31"/>
      <c r="MW14" s="31"/>
      <c r="MX14" s="74"/>
      <c r="MY14" s="74"/>
      <c r="MZ14" s="31"/>
      <c r="NA14" s="31"/>
      <c r="NB14" s="31"/>
      <c r="NC14" s="31"/>
      <c r="ND14" s="31"/>
      <c r="NE14" s="74"/>
      <c r="NF14" s="74"/>
      <c r="NG14" s="31"/>
      <c r="NH14" s="31"/>
      <c r="NI14" s="31"/>
      <c r="NJ14" s="31"/>
      <c r="NK14" s="31"/>
      <c r="NL14" s="74"/>
      <c r="NM14" s="74"/>
      <c r="NN14" s="31"/>
      <c r="NO14" s="31"/>
      <c r="NP14" s="31"/>
      <c r="NQ14" s="31"/>
      <c r="NR14" s="31"/>
      <c r="NS14" s="74"/>
      <c r="NT14" s="74"/>
    </row>
    <row r="15" spans="1:384" s="29" customFormat="1" ht="9" customHeight="1" outlineLevel="2" x14ac:dyDescent="0.2">
      <c r="B15" s="37">
        <v>1.06</v>
      </c>
      <c r="C15" s="35" t="s">
        <v>54</v>
      </c>
      <c r="D15" s="35"/>
      <c r="E15" s="61"/>
      <c r="F15" s="39"/>
      <c r="G15" s="61"/>
      <c r="H15" s="61"/>
      <c r="I15" s="40"/>
      <c r="J15" s="62"/>
      <c r="K15" s="38"/>
      <c r="L15" s="35"/>
      <c r="N15" s="31"/>
      <c r="O15" s="31"/>
      <c r="P15" s="31"/>
      <c r="Q15" s="31"/>
      <c r="R15" s="31"/>
      <c r="S15" s="74"/>
      <c r="T15" s="74"/>
      <c r="U15" s="31"/>
      <c r="V15" s="31"/>
      <c r="W15" s="31"/>
      <c r="X15" s="31"/>
      <c r="Y15" s="31"/>
      <c r="Z15" s="74"/>
      <c r="AA15" s="74"/>
      <c r="AB15" s="31"/>
      <c r="AC15" s="31"/>
      <c r="AD15" s="31"/>
      <c r="AE15" s="31"/>
      <c r="AF15" s="31"/>
      <c r="AG15" s="74"/>
      <c r="AH15" s="74"/>
      <c r="AI15" s="31"/>
      <c r="AJ15" s="31"/>
      <c r="AK15" s="31"/>
      <c r="AL15" s="31"/>
      <c r="AM15" s="31"/>
      <c r="AN15" s="74"/>
      <c r="AO15" s="74"/>
      <c r="AP15" s="31"/>
      <c r="AQ15" s="31"/>
      <c r="AR15" s="31"/>
      <c r="AS15" s="31"/>
      <c r="AT15" s="31"/>
      <c r="AU15" s="74"/>
      <c r="AV15" s="74"/>
      <c r="AW15" s="31"/>
      <c r="AX15" s="31"/>
      <c r="AY15" s="31"/>
      <c r="AZ15" s="31"/>
      <c r="BA15" s="31"/>
      <c r="BB15" s="74"/>
      <c r="BC15" s="74"/>
      <c r="BD15" s="31"/>
      <c r="BE15" s="31"/>
      <c r="BF15" s="31"/>
      <c r="BG15" s="31"/>
      <c r="BH15" s="31"/>
      <c r="BI15" s="74"/>
      <c r="BJ15" s="74"/>
      <c r="BK15" s="31"/>
      <c r="BL15" s="31"/>
      <c r="BM15" s="31"/>
      <c r="BN15" s="31"/>
      <c r="BO15" s="31"/>
      <c r="BP15" s="74"/>
      <c r="BQ15" s="74"/>
      <c r="BR15" s="31"/>
      <c r="BS15" s="31"/>
      <c r="BT15" s="31"/>
      <c r="BU15" s="31"/>
      <c r="BV15" s="31"/>
      <c r="BW15" s="74"/>
      <c r="BX15" s="74"/>
      <c r="BY15" s="31"/>
      <c r="BZ15" s="31"/>
      <c r="CA15" s="31"/>
      <c r="CB15" s="31"/>
      <c r="CC15" s="31"/>
      <c r="CD15" s="74"/>
      <c r="CE15" s="74"/>
      <c r="CF15" s="31"/>
      <c r="CG15" s="31"/>
      <c r="CH15" s="31"/>
      <c r="CI15" s="31"/>
      <c r="CJ15" s="31"/>
      <c r="CK15" s="74"/>
      <c r="CL15" s="74"/>
      <c r="CM15" s="31"/>
      <c r="CN15" s="31"/>
      <c r="CO15" s="31"/>
      <c r="CP15" s="31"/>
      <c r="CQ15" s="31"/>
      <c r="CR15" s="74"/>
      <c r="CS15" s="74"/>
      <c r="CT15" s="31"/>
      <c r="CU15" s="31"/>
      <c r="CV15" s="31"/>
      <c r="CW15" s="31"/>
      <c r="CX15" s="31"/>
      <c r="CY15" s="74"/>
      <c r="CZ15" s="74"/>
      <c r="DA15" s="31"/>
      <c r="DB15" s="31"/>
      <c r="DC15" s="31"/>
      <c r="DD15" s="31"/>
      <c r="DE15" s="31"/>
      <c r="DF15" s="74"/>
      <c r="DG15" s="74"/>
      <c r="DH15" s="31"/>
      <c r="DI15" s="31"/>
      <c r="DJ15" s="31"/>
      <c r="DK15" s="31"/>
      <c r="DL15" s="31"/>
      <c r="DM15" s="74"/>
      <c r="DN15" s="74"/>
      <c r="DO15" s="31"/>
      <c r="DP15" s="77"/>
      <c r="DQ15" s="31"/>
      <c r="DR15" s="31"/>
      <c r="DS15" s="31"/>
      <c r="DT15" s="74"/>
      <c r="DU15" s="74"/>
      <c r="DV15" s="31"/>
      <c r="DW15" s="31"/>
      <c r="DX15" s="31"/>
      <c r="DY15" s="31"/>
      <c r="DZ15" s="31"/>
      <c r="EA15" s="74"/>
      <c r="EB15" s="74"/>
      <c r="EC15" s="31"/>
      <c r="ED15" s="31"/>
      <c r="EE15" s="31"/>
      <c r="EF15" s="31"/>
      <c r="EG15" s="31"/>
      <c r="EH15" s="74"/>
      <c r="EI15" s="74"/>
      <c r="EJ15" s="31"/>
      <c r="EK15" s="31"/>
      <c r="EL15" s="31"/>
      <c r="EM15" s="31"/>
      <c r="EN15" s="31"/>
      <c r="EO15" s="74"/>
      <c r="EP15" s="74"/>
      <c r="EQ15" s="31"/>
      <c r="ER15" s="31"/>
      <c r="ES15" s="31"/>
      <c r="ET15" s="31"/>
      <c r="EU15" s="31"/>
      <c r="EV15" s="74"/>
      <c r="EW15" s="74"/>
      <c r="EX15" s="31"/>
      <c r="EY15" s="31"/>
      <c r="EZ15" s="31"/>
      <c r="FA15" s="31"/>
      <c r="FB15" s="31"/>
      <c r="FC15" s="74"/>
      <c r="FD15" s="74"/>
      <c r="FE15" s="31"/>
      <c r="FF15" s="31"/>
      <c r="FG15" s="31"/>
      <c r="FH15" s="31"/>
      <c r="FI15" s="31"/>
      <c r="FJ15" s="74"/>
      <c r="FK15" s="74"/>
      <c r="FL15" s="31"/>
      <c r="FM15" s="31"/>
      <c r="FN15" s="31"/>
      <c r="FO15" s="31"/>
      <c r="FP15" s="31"/>
      <c r="FQ15" s="74"/>
      <c r="FR15" s="74"/>
      <c r="FS15" s="31"/>
      <c r="FT15" s="31"/>
      <c r="FU15" s="31"/>
      <c r="FV15" s="31"/>
      <c r="FW15" s="31"/>
      <c r="FX15" s="74"/>
      <c r="FY15" s="74"/>
      <c r="FZ15" s="31"/>
      <c r="GA15" s="31"/>
      <c r="GB15" s="31"/>
      <c r="GC15" s="31"/>
      <c r="GD15" s="31"/>
      <c r="GE15" s="74"/>
      <c r="GF15" s="74"/>
      <c r="GG15" s="31"/>
      <c r="GH15" s="31"/>
      <c r="GI15" s="31"/>
      <c r="GJ15" s="31"/>
      <c r="GK15" s="31"/>
      <c r="GL15" s="74"/>
      <c r="GM15" s="74"/>
      <c r="GN15" s="31"/>
      <c r="GO15" s="31"/>
      <c r="GP15" s="31"/>
      <c r="GQ15" s="31"/>
      <c r="GR15" s="31"/>
      <c r="GS15" s="74"/>
      <c r="GT15" s="74"/>
      <c r="GU15" s="31"/>
      <c r="GV15" s="31"/>
      <c r="GW15" s="31"/>
      <c r="GX15" s="31"/>
      <c r="GY15" s="31"/>
      <c r="GZ15" s="74"/>
      <c r="HA15" s="74"/>
      <c r="HB15" s="31"/>
      <c r="HC15" s="31"/>
      <c r="HD15" s="31"/>
      <c r="HE15" s="31"/>
      <c r="HF15" s="31"/>
      <c r="HG15" s="74"/>
      <c r="HH15" s="74"/>
      <c r="HI15" s="31"/>
      <c r="HJ15" s="31"/>
      <c r="HK15" s="31"/>
      <c r="HL15" s="31"/>
      <c r="HM15" s="31"/>
      <c r="HN15" s="74"/>
      <c r="HO15" s="74"/>
      <c r="HP15" s="31"/>
      <c r="HQ15" s="31"/>
      <c r="HR15" s="31"/>
      <c r="HS15" s="31"/>
      <c r="HT15" s="31"/>
      <c r="HU15" s="74"/>
      <c r="HV15" s="74"/>
      <c r="HW15" s="31"/>
      <c r="HX15" s="31"/>
      <c r="HY15" s="31"/>
      <c r="HZ15" s="31"/>
      <c r="IA15" s="31"/>
      <c r="IB15" s="74"/>
      <c r="IC15" s="74"/>
      <c r="ID15" s="31"/>
      <c r="IE15" s="31"/>
      <c r="IF15" s="31"/>
      <c r="IG15" s="31"/>
      <c r="IH15" s="31"/>
      <c r="II15" s="74"/>
      <c r="IJ15" s="74"/>
      <c r="IK15" s="31"/>
      <c r="IL15" s="31"/>
      <c r="IM15" s="31"/>
      <c r="IN15" s="31"/>
      <c r="IO15" s="31"/>
      <c r="IP15" s="74"/>
      <c r="IQ15" s="74"/>
      <c r="IR15" s="31"/>
      <c r="IS15" s="31"/>
      <c r="IT15" s="31"/>
      <c r="IU15" s="31"/>
      <c r="IV15" s="31"/>
      <c r="IW15" s="74"/>
      <c r="IX15" s="74"/>
      <c r="IY15" s="31"/>
      <c r="IZ15" s="31"/>
      <c r="JA15" s="31"/>
      <c r="JB15" s="31"/>
      <c r="JC15" s="31"/>
      <c r="JD15" s="74"/>
      <c r="JE15" s="74"/>
      <c r="JF15" s="31"/>
      <c r="JG15" s="31"/>
      <c r="JH15" s="31"/>
      <c r="JI15" s="31"/>
      <c r="JJ15" s="31"/>
      <c r="JK15" s="74"/>
      <c r="JL15" s="74"/>
      <c r="JM15" s="31"/>
      <c r="JN15" s="31"/>
      <c r="JO15" s="31"/>
      <c r="JP15" s="31"/>
      <c r="JQ15" s="31"/>
      <c r="JR15" s="74"/>
      <c r="JS15" s="74"/>
      <c r="JT15" s="31"/>
      <c r="JU15" s="31"/>
      <c r="JV15" s="31"/>
      <c r="JW15" s="31"/>
      <c r="JX15" s="31"/>
      <c r="JY15" s="74"/>
      <c r="JZ15" s="74"/>
      <c r="KA15" s="31"/>
      <c r="KB15" s="31"/>
      <c r="KC15" s="31"/>
      <c r="KD15" s="31"/>
      <c r="KE15" s="31"/>
      <c r="KF15" s="74"/>
      <c r="KG15" s="74"/>
      <c r="KH15" s="31"/>
      <c r="KI15" s="31"/>
      <c r="KJ15" s="31"/>
      <c r="KK15" s="31"/>
      <c r="KL15" s="31"/>
      <c r="KM15" s="74"/>
      <c r="KN15" s="74"/>
      <c r="KO15" s="31"/>
      <c r="KP15" s="31"/>
      <c r="KQ15" s="31"/>
      <c r="KR15" s="31"/>
      <c r="KS15" s="31"/>
      <c r="KT15" s="74"/>
      <c r="KU15" s="74"/>
      <c r="KV15" s="31"/>
      <c r="KW15" s="31"/>
      <c r="KX15" s="31"/>
      <c r="KY15" s="31"/>
      <c r="KZ15" s="31"/>
      <c r="LA15" s="74"/>
      <c r="LB15" s="74"/>
      <c r="LC15" s="31"/>
      <c r="LD15" s="31"/>
      <c r="LE15" s="31"/>
      <c r="LF15" s="31"/>
      <c r="LG15" s="31"/>
      <c r="LH15" s="74"/>
      <c r="LI15" s="74"/>
      <c r="LJ15" s="31"/>
      <c r="LK15" s="31"/>
      <c r="LL15" s="31"/>
      <c r="LM15" s="31"/>
      <c r="LN15" s="31"/>
      <c r="LO15" s="74"/>
      <c r="LP15" s="74"/>
      <c r="LQ15" s="31"/>
      <c r="LR15" s="31"/>
      <c r="LS15" s="31"/>
      <c r="LT15" s="31"/>
      <c r="LU15" s="31"/>
      <c r="LV15" s="74"/>
      <c r="LW15" s="74"/>
      <c r="LX15" s="31"/>
      <c r="LY15" s="31"/>
      <c r="LZ15" s="31"/>
      <c r="MA15" s="31"/>
      <c r="MB15" s="31"/>
      <c r="MC15" s="74"/>
      <c r="MD15" s="74"/>
      <c r="ME15" s="31"/>
      <c r="MF15" s="31"/>
      <c r="MG15" s="31"/>
      <c r="MH15" s="31"/>
      <c r="MI15" s="31"/>
      <c r="MJ15" s="74"/>
      <c r="MK15" s="74"/>
      <c r="ML15" s="31"/>
      <c r="MM15" s="31"/>
      <c r="MN15" s="31"/>
      <c r="MO15" s="31"/>
      <c r="MP15" s="31"/>
      <c r="MQ15" s="74"/>
      <c r="MR15" s="74"/>
      <c r="MS15" s="31"/>
      <c r="MT15" s="31"/>
      <c r="MU15" s="31"/>
      <c r="MV15" s="31"/>
      <c r="MW15" s="31"/>
      <c r="MX15" s="74"/>
      <c r="MY15" s="74"/>
      <c r="MZ15" s="31"/>
      <c r="NA15" s="31"/>
      <c r="NB15" s="31"/>
      <c r="NC15" s="31"/>
      <c r="ND15" s="31"/>
      <c r="NE15" s="74"/>
      <c r="NF15" s="74"/>
      <c r="NG15" s="31"/>
      <c r="NH15" s="31"/>
      <c r="NI15" s="31"/>
      <c r="NJ15" s="31"/>
      <c r="NK15" s="31"/>
      <c r="NL15" s="74"/>
      <c r="NM15" s="74"/>
      <c r="NN15" s="31"/>
      <c r="NO15" s="31"/>
      <c r="NP15" s="31"/>
      <c r="NQ15" s="31"/>
      <c r="NR15" s="31"/>
      <c r="NS15" s="74"/>
      <c r="NT15" s="74"/>
    </row>
    <row r="16" spans="1:384" s="29" customFormat="1" ht="9" customHeight="1" outlineLevel="2" x14ac:dyDescent="0.2">
      <c r="B16" s="37">
        <v>1.07</v>
      </c>
      <c r="C16" s="35" t="s">
        <v>49</v>
      </c>
      <c r="D16" s="35" t="s">
        <v>50</v>
      </c>
      <c r="E16" s="61"/>
      <c r="F16" s="39"/>
      <c r="G16" s="61"/>
      <c r="H16" s="61"/>
      <c r="I16" s="40"/>
      <c r="J16" s="62"/>
      <c r="K16" s="38"/>
      <c r="L16" s="35"/>
      <c r="N16" s="31"/>
      <c r="O16" s="31"/>
      <c r="P16" s="31"/>
      <c r="Q16" s="31"/>
      <c r="R16" s="31"/>
      <c r="S16" s="74"/>
      <c r="T16" s="74"/>
      <c r="U16" s="31"/>
      <c r="V16" s="31"/>
      <c r="W16" s="31"/>
      <c r="X16" s="31"/>
      <c r="Y16" s="31"/>
      <c r="Z16" s="74"/>
      <c r="AA16" s="74"/>
      <c r="AB16" s="31"/>
      <c r="AC16" s="31"/>
      <c r="AD16" s="31"/>
      <c r="AE16" s="31"/>
      <c r="AF16" s="31"/>
      <c r="AG16" s="74"/>
      <c r="AH16" s="74"/>
      <c r="AI16" s="31"/>
      <c r="AJ16" s="31"/>
      <c r="AK16" s="31"/>
      <c r="AL16" s="31"/>
      <c r="AM16" s="31"/>
      <c r="AN16" s="74"/>
      <c r="AO16" s="74"/>
      <c r="AP16" s="31"/>
      <c r="AQ16" s="31"/>
      <c r="AR16" s="31"/>
      <c r="AS16" s="31"/>
      <c r="AT16" s="31"/>
      <c r="AU16" s="74"/>
      <c r="AV16" s="74"/>
      <c r="AW16" s="31"/>
      <c r="AX16" s="31"/>
      <c r="AY16" s="31"/>
      <c r="AZ16" s="31"/>
      <c r="BA16" s="31"/>
      <c r="BB16" s="74"/>
      <c r="BC16" s="74"/>
      <c r="BD16" s="31"/>
      <c r="BE16" s="31"/>
      <c r="BF16" s="31"/>
      <c r="BG16" s="31"/>
      <c r="BH16" s="31"/>
      <c r="BI16" s="74"/>
      <c r="BJ16" s="74"/>
      <c r="BK16" s="31"/>
      <c r="BL16" s="31"/>
      <c r="BM16" s="31"/>
      <c r="BN16" s="31"/>
      <c r="BO16" s="31"/>
      <c r="BP16" s="74"/>
      <c r="BQ16" s="74"/>
      <c r="BR16" s="31"/>
      <c r="BS16" s="31"/>
      <c r="BT16" s="31"/>
      <c r="BU16" s="31"/>
      <c r="BV16" s="31"/>
      <c r="BW16" s="74"/>
      <c r="BX16" s="74"/>
      <c r="BY16" s="31"/>
      <c r="BZ16" s="31"/>
      <c r="CA16" s="31"/>
      <c r="CB16" s="31"/>
      <c r="CC16" s="31"/>
      <c r="CD16" s="74"/>
      <c r="CE16" s="74"/>
      <c r="CF16" s="31"/>
      <c r="CG16" s="31"/>
      <c r="CH16" s="31"/>
      <c r="CI16" s="31"/>
      <c r="CJ16" s="31"/>
      <c r="CK16" s="74"/>
      <c r="CL16" s="74"/>
      <c r="CM16" s="31"/>
      <c r="CN16" s="31"/>
      <c r="CO16" s="31"/>
      <c r="CP16" s="31"/>
      <c r="CQ16" s="31"/>
      <c r="CR16" s="74"/>
      <c r="CS16" s="74"/>
      <c r="CT16" s="31"/>
      <c r="CU16" s="31"/>
      <c r="CV16" s="31"/>
      <c r="CW16" s="31"/>
      <c r="CX16" s="31"/>
      <c r="CY16" s="74"/>
      <c r="CZ16" s="74"/>
      <c r="DA16" s="31"/>
      <c r="DB16" s="31"/>
      <c r="DC16" s="31"/>
      <c r="DD16" s="31"/>
      <c r="DE16" s="31"/>
      <c r="DF16" s="74"/>
      <c r="DG16" s="74"/>
      <c r="DH16" s="31"/>
      <c r="DI16" s="31"/>
      <c r="DJ16" s="31"/>
      <c r="DK16" s="31"/>
      <c r="DL16" s="31"/>
      <c r="DM16" s="74"/>
      <c r="DN16" s="74"/>
      <c r="DO16" s="31"/>
      <c r="DP16" s="77"/>
      <c r="DQ16" s="31"/>
      <c r="DR16" s="31"/>
      <c r="DS16" s="31"/>
      <c r="DT16" s="74"/>
      <c r="DU16" s="74"/>
      <c r="DV16" s="31"/>
      <c r="DW16" s="31"/>
      <c r="DX16" s="31"/>
      <c r="DY16" s="31"/>
      <c r="DZ16" s="31"/>
      <c r="EA16" s="74"/>
      <c r="EB16" s="74"/>
      <c r="EC16" s="31"/>
      <c r="ED16" s="31"/>
      <c r="EE16" s="31"/>
      <c r="EF16" s="31"/>
      <c r="EG16" s="31"/>
      <c r="EH16" s="74"/>
      <c r="EI16" s="74"/>
      <c r="EJ16" s="31"/>
      <c r="EK16" s="31"/>
      <c r="EL16" s="31"/>
      <c r="EM16" s="31"/>
      <c r="EN16" s="31"/>
      <c r="EO16" s="74"/>
      <c r="EP16" s="74"/>
      <c r="EQ16" s="31"/>
      <c r="ER16" s="31"/>
      <c r="ES16" s="31"/>
      <c r="ET16" s="31"/>
      <c r="EU16" s="31"/>
      <c r="EV16" s="74"/>
      <c r="EW16" s="74"/>
      <c r="EX16" s="31"/>
      <c r="EY16" s="31"/>
      <c r="EZ16" s="31"/>
      <c r="FA16" s="31"/>
      <c r="FB16" s="31"/>
      <c r="FC16" s="74"/>
      <c r="FD16" s="74"/>
      <c r="FE16" s="31"/>
      <c r="FF16" s="31"/>
      <c r="FG16" s="31"/>
      <c r="FH16" s="31"/>
      <c r="FI16" s="31"/>
      <c r="FJ16" s="74"/>
      <c r="FK16" s="74"/>
      <c r="FL16" s="31"/>
      <c r="FM16" s="31"/>
      <c r="FN16" s="31"/>
      <c r="FO16" s="31"/>
      <c r="FP16" s="31"/>
      <c r="FQ16" s="74"/>
      <c r="FR16" s="74"/>
      <c r="FS16" s="31"/>
      <c r="FT16" s="31"/>
      <c r="FU16" s="31"/>
      <c r="FV16" s="31"/>
      <c r="FW16" s="31"/>
      <c r="FX16" s="74"/>
      <c r="FY16" s="74"/>
      <c r="FZ16" s="31"/>
      <c r="GA16" s="31"/>
      <c r="GB16" s="31"/>
      <c r="GC16" s="31"/>
      <c r="GD16" s="31"/>
      <c r="GE16" s="74"/>
      <c r="GF16" s="74"/>
      <c r="GG16" s="31"/>
      <c r="GH16" s="31"/>
      <c r="GI16" s="31"/>
      <c r="GJ16" s="31"/>
      <c r="GK16" s="31"/>
      <c r="GL16" s="74"/>
      <c r="GM16" s="74"/>
      <c r="GN16" s="31"/>
      <c r="GO16" s="31"/>
      <c r="GP16" s="31"/>
      <c r="GQ16" s="31"/>
      <c r="GR16" s="31"/>
      <c r="GS16" s="74"/>
      <c r="GT16" s="74"/>
      <c r="GU16" s="31"/>
      <c r="GV16" s="31"/>
      <c r="GW16" s="31"/>
      <c r="GX16" s="31"/>
      <c r="GY16" s="31"/>
      <c r="GZ16" s="74"/>
      <c r="HA16" s="74"/>
      <c r="HB16" s="31"/>
      <c r="HC16" s="31"/>
      <c r="HD16" s="31"/>
      <c r="HE16" s="31"/>
      <c r="HF16" s="31"/>
      <c r="HG16" s="74"/>
      <c r="HH16" s="74"/>
      <c r="HI16" s="31"/>
      <c r="HJ16" s="31"/>
      <c r="HK16" s="31"/>
      <c r="HL16" s="31"/>
      <c r="HM16" s="31"/>
      <c r="HN16" s="74"/>
      <c r="HO16" s="74"/>
      <c r="HP16" s="31"/>
      <c r="HQ16" s="31"/>
      <c r="HR16" s="31"/>
      <c r="HS16" s="31"/>
      <c r="HT16" s="31"/>
      <c r="HU16" s="74"/>
      <c r="HV16" s="74"/>
      <c r="HW16" s="31"/>
      <c r="HX16" s="31"/>
      <c r="HY16" s="31"/>
      <c r="HZ16" s="31"/>
      <c r="IA16" s="31"/>
      <c r="IB16" s="74"/>
      <c r="IC16" s="74"/>
      <c r="ID16" s="31"/>
      <c r="IE16" s="31"/>
      <c r="IF16" s="31"/>
      <c r="IG16" s="31"/>
      <c r="IH16" s="31"/>
      <c r="II16" s="74"/>
      <c r="IJ16" s="74"/>
      <c r="IK16" s="31"/>
      <c r="IL16" s="31"/>
      <c r="IM16" s="31"/>
      <c r="IN16" s="31"/>
      <c r="IO16" s="31"/>
      <c r="IP16" s="74"/>
      <c r="IQ16" s="74"/>
      <c r="IR16" s="31"/>
      <c r="IS16" s="31"/>
      <c r="IT16" s="31"/>
      <c r="IU16" s="31"/>
      <c r="IV16" s="31"/>
      <c r="IW16" s="74"/>
      <c r="IX16" s="74"/>
      <c r="IY16" s="31"/>
      <c r="IZ16" s="31"/>
      <c r="JA16" s="31"/>
      <c r="JB16" s="31"/>
      <c r="JC16" s="31"/>
      <c r="JD16" s="74"/>
      <c r="JE16" s="74"/>
      <c r="JF16" s="31"/>
      <c r="JG16" s="31"/>
      <c r="JH16" s="31"/>
      <c r="JI16" s="31"/>
      <c r="JJ16" s="31"/>
      <c r="JK16" s="74"/>
      <c r="JL16" s="74"/>
      <c r="JM16" s="31"/>
      <c r="JN16" s="31"/>
      <c r="JO16" s="31"/>
      <c r="JP16" s="31"/>
      <c r="JQ16" s="31"/>
      <c r="JR16" s="74"/>
      <c r="JS16" s="74"/>
      <c r="JT16" s="31"/>
      <c r="JU16" s="31"/>
      <c r="JV16" s="31"/>
      <c r="JW16" s="31"/>
      <c r="JX16" s="31"/>
      <c r="JY16" s="74"/>
      <c r="JZ16" s="74"/>
      <c r="KA16" s="31"/>
      <c r="KB16" s="31"/>
      <c r="KC16" s="31"/>
      <c r="KD16" s="31"/>
      <c r="KE16" s="31"/>
      <c r="KF16" s="74"/>
      <c r="KG16" s="74"/>
      <c r="KH16" s="31"/>
      <c r="KI16" s="31"/>
      <c r="KJ16" s="31"/>
      <c r="KK16" s="31"/>
      <c r="KL16" s="31"/>
      <c r="KM16" s="74"/>
      <c r="KN16" s="74"/>
      <c r="KO16" s="31"/>
      <c r="KP16" s="31"/>
      <c r="KQ16" s="31"/>
      <c r="KR16" s="31"/>
      <c r="KS16" s="31"/>
      <c r="KT16" s="74"/>
      <c r="KU16" s="74"/>
      <c r="KV16" s="31"/>
      <c r="KW16" s="31"/>
      <c r="KX16" s="31"/>
      <c r="KY16" s="31"/>
      <c r="KZ16" s="31"/>
      <c r="LA16" s="74"/>
      <c r="LB16" s="74"/>
      <c r="LC16" s="31"/>
      <c r="LD16" s="31"/>
      <c r="LE16" s="31"/>
      <c r="LF16" s="31"/>
      <c r="LG16" s="31"/>
      <c r="LH16" s="74"/>
      <c r="LI16" s="74"/>
      <c r="LJ16" s="31"/>
      <c r="LK16" s="31"/>
      <c r="LL16" s="31"/>
      <c r="LM16" s="31"/>
      <c r="LN16" s="31"/>
      <c r="LO16" s="74"/>
      <c r="LP16" s="74"/>
      <c r="LQ16" s="31"/>
      <c r="LR16" s="31"/>
      <c r="LS16" s="31"/>
      <c r="LT16" s="31"/>
      <c r="LU16" s="31"/>
      <c r="LV16" s="74"/>
      <c r="LW16" s="74"/>
      <c r="LX16" s="31"/>
      <c r="LY16" s="31"/>
      <c r="LZ16" s="31"/>
      <c r="MA16" s="31"/>
      <c r="MB16" s="31"/>
      <c r="MC16" s="74"/>
      <c r="MD16" s="74"/>
      <c r="ME16" s="31"/>
      <c r="MF16" s="31"/>
      <c r="MG16" s="31"/>
      <c r="MH16" s="31"/>
      <c r="MI16" s="31"/>
      <c r="MJ16" s="74"/>
      <c r="MK16" s="74"/>
      <c r="ML16" s="31"/>
      <c r="MM16" s="31"/>
      <c r="MN16" s="31"/>
      <c r="MO16" s="31"/>
      <c r="MP16" s="31"/>
      <c r="MQ16" s="74"/>
      <c r="MR16" s="74"/>
      <c r="MS16" s="31"/>
      <c r="MT16" s="31"/>
      <c r="MU16" s="31"/>
      <c r="MV16" s="31"/>
      <c r="MW16" s="31"/>
      <c r="MX16" s="74"/>
      <c r="MY16" s="74"/>
      <c r="MZ16" s="31"/>
      <c r="NA16" s="31"/>
      <c r="NB16" s="31"/>
      <c r="NC16" s="31"/>
      <c r="ND16" s="31"/>
      <c r="NE16" s="74"/>
      <c r="NF16" s="74"/>
      <c r="NG16" s="31"/>
      <c r="NH16" s="31"/>
      <c r="NI16" s="31"/>
      <c r="NJ16" s="31"/>
      <c r="NK16" s="31"/>
      <c r="NL16" s="74"/>
      <c r="NM16" s="74"/>
      <c r="NN16" s="31"/>
      <c r="NO16" s="31"/>
      <c r="NP16" s="31"/>
      <c r="NQ16" s="31"/>
      <c r="NR16" s="31"/>
      <c r="NS16" s="74"/>
      <c r="NT16" s="74"/>
    </row>
    <row r="17" spans="2:384" s="29" customFormat="1" ht="9" customHeight="1" outlineLevel="2" x14ac:dyDescent="0.2">
      <c r="B17" s="37">
        <v>1.08</v>
      </c>
      <c r="C17" s="35" t="s">
        <v>55</v>
      </c>
      <c r="D17" s="35" t="s">
        <v>50</v>
      </c>
      <c r="E17" s="61"/>
      <c r="F17" s="39"/>
      <c r="G17" s="61"/>
      <c r="H17" s="61"/>
      <c r="I17" s="40"/>
      <c r="J17" s="62"/>
      <c r="K17" s="38"/>
      <c r="L17" s="35"/>
      <c r="N17" s="31"/>
      <c r="O17" s="31"/>
      <c r="P17" s="31"/>
      <c r="Q17" s="31"/>
      <c r="R17" s="31"/>
      <c r="S17" s="74"/>
      <c r="T17" s="74"/>
      <c r="U17" s="31"/>
      <c r="V17" s="31"/>
      <c r="W17" s="31"/>
      <c r="X17" s="31"/>
      <c r="Y17" s="31"/>
      <c r="Z17" s="74"/>
      <c r="AA17" s="74"/>
      <c r="AB17" s="31"/>
      <c r="AC17" s="31"/>
      <c r="AD17" s="31"/>
      <c r="AE17" s="31"/>
      <c r="AF17" s="31"/>
      <c r="AG17" s="74"/>
      <c r="AH17" s="74"/>
      <c r="AI17" s="31"/>
      <c r="AJ17" s="31"/>
      <c r="AK17" s="31"/>
      <c r="AL17" s="31"/>
      <c r="AM17" s="31"/>
      <c r="AN17" s="74"/>
      <c r="AO17" s="74"/>
      <c r="AP17" s="31"/>
      <c r="AQ17" s="31"/>
      <c r="AR17" s="31"/>
      <c r="AS17" s="31"/>
      <c r="AT17" s="31"/>
      <c r="AU17" s="74"/>
      <c r="AV17" s="74"/>
      <c r="AW17" s="31"/>
      <c r="AX17" s="31"/>
      <c r="AY17" s="31"/>
      <c r="AZ17" s="31"/>
      <c r="BA17" s="31"/>
      <c r="BB17" s="74"/>
      <c r="BC17" s="74"/>
      <c r="BD17" s="31"/>
      <c r="BE17" s="31"/>
      <c r="BF17" s="31"/>
      <c r="BG17" s="31"/>
      <c r="BH17" s="31"/>
      <c r="BI17" s="74"/>
      <c r="BJ17" s="74"/>
      <c r="BK17" s="31"/>
      <c r="BL17" s="31"/>
      <c r="BM17" s="31"/>
      <c r="BN17" s="31"/>
      <c r="BO17" s="31"/>
      <c r="BP17" s="74"/>
      <c r="BQ17" s="74"/>
      <c r="BR17" s="31"/>
      <c r="BS17" s="31"/>
      <c r="BT17" s="31"/>
      <c r="BU17" s="31"/>
      <c r="BV17" s="31"/>
      <c r="BW17" s="74"/>
      <c r="BX17" s="74"/>
      <c r="BY17" s="31"/>
      <c r="BZ17" s="31"/>
      <c r="CA17" s="31"/>
      <c r="CB17" s="31"/>
      <c r="CC17" s="31"/>
      <c r="CD17" s="74"/>
      <c r="CE17" s="74"/>
      <c r="CF17" s="31"/>
      <c r="CG17" s="31"/>
      <c r="CH17" s="31"/>
      <c r="CI17" s="31"/>
      <c r="CJ17" s="31"/>
      <c r="CK17" s="74"/>
      <c r="CL17" s="74"/>
      <c r="CM17" s="31"/>
      <c r="CN17" s="31"/>
      <c r="CO17" s="31"/>
      <c r="CP17" s="31"/>
      <c r="CQ17" s="31"/>
      <c r="CR17" s="74"/>
      <c r="CS17" s="74"/>
      <c r="CT17" s="31"/>
      <c r="CU17" s="31"/>
      <c r="CV17" s="31"/>
      <c r="CW17" s="31"/>
      <c r="CX17" s="31"/>
      <c r="CY17" s="74"/>
      <c r="CZ17" s="74"/>
      <c r="DA17" s="31"/>
      <c r="DB17" s="31"/>
      <c r="DC17" s="31"/>
      <c r="DD17" s="31"/>
      <c r="DE17" s="31"/>
      <c r="DF17" s="74"/>
      <c r="DG17" s="74"/>
      <c r="DH17" s="31"/>
      <c r="DI17" s="31"/>
      <c r="DJ17" s="31"/>
      <c r="DK17" s="31"/>
      <c r="DL17" s="31"/>
      <c r="DM17" s="74"/>
      <c r="DN17" s="74"/>
      <c r="DO17" s="31"/>
      <c r="DP17" s="77"/>
      <c r="DQ17" s="31"/>
      <c r="DR17" s="31"/>
      <c r="DS17" s="31"/>
      <c r="DT17" s="74"/>
      <c r="DU17" s="74"/>
      <c r="DV17" s="31"/>
      <c r="DW17" s="31"/>
      <c r="DX17" s="31"/>
      <c r="DY17" s="31"/>
      <c r="DZ17" s="31"/>
      <c r="EA17" s="74"/>
      <c r="EB17" s="74"/>
      <c r="EC17" s="31"/>
      <c r="ED17" s="31"/>
      <c r="EE17" s="31"/>
      <c r="EF17" s="31"/>
      <c r="EG17" s="31"/>
      <c r="EH17" s="74"/>
      <c r="EI17" s="74"/>
      <c r="EJ17" s="31"/>
      <c r="EK17" s="31"/>
      <c r="EL17" s="31"/>
      <c r="EM17" s="31"/>
      <c r="EN17" s="31"/>
      <c r="EO17" s="74"/>
      <c r="EP17" s="74"/>
      <c r="EQ17" s="31"/>
      <c r="ER17" s="31"/>
      <c r="ES17" s="31"/>
      <c r="ET17" s="31"/>
      <c r="EU17" s="31"/>
      <c r="EV17" s="74"/>
      <c r="EW17" s="74"/>
      <c r="EX17" s="31"/>
      <c r="EY17" s="31"/>
      <c r="EZ17" s="31"/>
      <c r="FA17" s="31"/>
      <c r="FB17" s="31"/>
      <c r="FC17" s="74"/>
      <c r="FD17" s="74"/>
      <c r="FE17" s="31"/>
      <c r="FF17" s="31"/>
      <c r="FG17" s="31"/>
      <c r="FH17" s="31"/>
      <c r="FI17" s="31"/>
      <c r="FJ17" s="74"/>
      <c r="FK17" s="74"/>
      <c r="FL17" s="31"/>
      <c r="FM17" s="31"/>
      <c r="FN17" s="31"/>
      <c r="FO17" s="31"/>
      <c r="FP17" s="31"/>
      <c r="FQ17" s="74"/>
      <c r="FR17" s="74"/>
      <c r="FS17" s="31"/>
      <c r="FT17" s="31"/>
      <c r="FU17" s="31"/>
      <c r="FV17" s="31"/>
      <c r="FW17" s="31"/>
      <c r="FX17" s="74"/>
      <c r="FY17" s="74"/>
      <c r="FZ17" s="31"/>
      <c r="GA17" s="31"/>
      <c r="GB17" s="31"/>
      <c r="GC17" s="31"/>
      <c r="GD17" s="31"/>
      <c r="GE17" s="74"/>
      <c r="GF17" s="74"/>
      <c r="GG17" s="31"/>
      <c r="GH17" s="31"/>
      <c r="GI17" s="31"/>
      <c r="GJ17" s="31"/>
      <c r="GK17" s="31"/>
      <c r="GL17" s="74"/>
      <c r="GM17" s="74"/>
      <c r="GN17" s="31"/>
      <c r="GO17" s="31"/>
      <c r="GP17" s="31"/>
      <c r="GQ17" s="31"/>
      <c r="GR17" s="31"/>
      <c r="GS17" s="74"/>
      <c r="GT17" s="74"/>
      <c r="GU17" s="31"/>
      <c r="GV17" s="31"/>
      <c r="GW17" s="31"/>
      <c r="GX17" s="31"/>
      <c r="GY17" s="31"/>
      <c r="GZ17" s="74"/>
      <c r="HA17" s="74"/>
      <c r="HB17" s="31"/>
      <c r="HC17" s="31"/>
      <c r="HD17" s="31"/>
      <c r="HE17" s="31"/>
      <c r="HF17" s="31"/>
      <c r="HG17" s="74"/>
      <c r="HH17" s="74"/>
      <c r="HI17" s="31"/>
      <c r="HJ17" s="31"/>
      <c r="HK17" s="31"/>
      <c r="HL17" s="31"/>
      <c r="HM17" s="31"/>
      <c r="HN17" s="74"/>
      <c r="HO17" s="74"/>
      <c r="HP17" s="31"/>
      <c r="HQ17" s="31"/>
      <c r="HR17" s="31"/>
      <c r="HS17" s="31"/>
      <c r="HT17" s="31"/>
      <c r="HU17" s="74"/>
      <c r="HV17" s="74"/>
      <c r="HW17" s="31"/>
      <c r="HX17" s="31"/>
      <c r="HY17" s="31"/>
      <c r="HZ17" s="31"/>
      <c r="IA17" s="31"/>
      <c r="IB17" s="74"/>
      <c r="IC17" s="74"/>
      <c r="ID17" s="31"/>
      <c r="IE17" s="31"/>
      <c r="IF17" s="31"/>
      <c r="IG17" s="31"/>
      <c r="IH17" s="31"/>
      <c r="II17" s="74"/>
      <c r="IJ17" s="74"/>
      <c r="IK17" s="31"/>
      <c r="IL17" s="31"/>
      <c r="IM17" s="31"/>
      <c r="IN17" s="31"/>
      <c r="IO17" s="31"/>
      <c r="IP17" s="74"/>
      <c r="IQ17" s="74"/>
      <c r="IR17" s="31"/>
      <c r="IS17" s="31"/>
      <c r="IT17" s="31"/>
      <c r="IU17" s="31"/>
      <c r="IV17" s="31"/>
      <c r="IW17" s="74"/>
      <c r="IX17" s="74"/>
      <c r="IY17" s="31"/>
      <c r="IZ17" s="31"/>
      <c r="JA17" s="31"/>
      <c r="JB17" s="31"/>
      <c r="JC17" s="31"/>
      <c r="JD17" s="74"/>
      <c r="JE17" s="74"/>
      <c r="JF17" s="31"/>
      <c r="JG17" s="31"/>
      <c r="JH17" s="31"/>
      <c r="JI17" s="31"/>
      <c r="JJ17" s="31"/>
      <c r="JK17" s="74"/>
      <c r="JL17" s="74"/>
      <c r="JM17" s="31"/>
      <c r="JN17" s="31"/>
      <c r="JO17" s="31"/>
      <c r="JP17" s="31"/>
      <c r="JQ17" s="31"/>
      <c r="JR17" s="74"/>
      <c r="JS17" s="74"/>
      <c r="JT17" s="31"/>
      <c r="JU17" s="31"/>
      <c r="JV17" s="31"/>
      <c r="JW17" s="31"/>
      <c r="JX17" s="31"/>
      <c r="JY17" s="74"/>
      <c r="JZ17" s="74"/>
      <c r="KA17" s="31"/>
      <c r="KB17" s="31"/>
      <c r="KC17" s="31"/>
      <c r="KD17" s="31"/>
      <c r="KE17" s="31"/>
      <c r="KF17" s="74"/>
      <c r="KG17" s="74"/>
      <c r="KH17" s="31"/>
      <c r="KI17" s="31"/>
      <c r="KJ17" s="31"/>
      <c r="KK17" s="31"/>
      <c r="KL17" s="31"/>
      <c r="KM17" s="74"/>
      <c r="KN17" s="74"/>
      <c r="KO17" s="31"/>
      <c r="KP17" s="31"/>
      <c r="KQ17" s="31"/>
      <c r="KR17" s="31"/>
      <c r="KS17" s="31"/>
      <c r="KT17" s="74"/>
      <c r="KU17" s="74"/>
      <c r="KV17" s="31"/>
      <c r="KW17" s="31"/>
      <c r="KX17" s="31"/>
      <c r="KY17" s="31"/>
      <c r="KZ17" s="31"/>
      <c r="LA17" s="74"/>
      <c r="LB17" s="74"/>
      <c r="LC17" s="31"/>
      <c r="LD17" s="31"/>
      <c r="LE17" s="31"/>
      <c r="LF17" s="31"/>
      <c r="LG17" s="31"/>
      <c r="LH17" s="74"/>
      <c r="LI17" s="74"/>
      <c r="LJ17" s="31"/>
      <c r="LK17" s="31"/>
      <c r="LL17" s="31"/>
      <c r="LM17" s="31"/>
      <c r="LN17" s="31"/>
      <c r="LO17" s="74"/>
      <c r="LP17" s="74"/>
      <c r="LQ17" s="31"/>
      <c r="LR17" s="31"/>
      <c r="LS17" s="31"/>
      <c r="LT17" s="31"/>
      <c r="LU17" s="31"/>
      <c r="LV17" s="74"/>
      <c r="LW17" s="74"/>
      <c r="LX17" s="31"/>
      <c r="LY17" s="31"/>
      <c r="LZ17" s="31"/>
      <c r="MA17" s="31"/>
      <c r="MB17" s="31"/>
      <c r="MC17" s="74"/>
      <c r="MD17" s="74"/>
      <c r="ME17" s="31"/>
      <c r="MF17" s="31"/>
      <c r="MG17" s="31"/>
      <c r="MH17" s="31"/>
      <c r="MI17" s="31"/>
      <c r="MJ17" s="74"/>
      <c r="MK17" s="74"/>
      <c r="ML17" s="31"/>
      <c r="MM17" s="31"/>
      <c r="MN17" s="31"/>
      <c r="MO17" s="31"/>
      <c r="MP17" s="31"/>
      <c r="MQ17" s="74"/>
      <c r="MR17" s="74"/>
      <c r="MS17" s="31"/>
      <c r="MT17" s="31"/>
      <c r="MU17" s="31"/>
      <c r="MV17" s="31"/>
      <c r="MW17" s="31"/>
      <c r="MX17" s="74"/>
      <c r="MY17" s="74"/>
      <c r="MZ17" s="31"/>
      <c r="NA17" s="31"/>
      <c r="NB17" s="31"/>
      <c r="NC17" s="31"/>
      <c r="ND17" s="31"/>
      <c r="NE17" s="74"/>
      <c r="NF17" s="74"/>
      <c r="NG17" s="31"/>
      <c r="NH17" s="31"/>
      <c r="NI17" s="31"/>
      <c r="NJ17" s="31"/>
      <c r="NK17" s="31"/>
      <c r="NL17" s="74"/>
      <c r="NM17" s="74"/>
      <c r="NN17" s="31"/>
      <c r="NO17" s="31"/>
      <c r="NP17" s="31"/>
      <c r="NQ17" s="31"/>
      <c r="NR17" s="31"/>
      <c r="NS17" s="74"/>
      <c r="NT17" s="74"/>
    </row>
    <row r="18" spans="2:384" s="29" customFormat="1" ht="9" customHeight="1" outlineLevel="2" x14ac:dyDescent="0.2">
      <c r="B18" s="37">
        <v>1.0900000000000001</v>
      </c>
      <c r="C18" s="35" t="s">
        <v>56</v>
      </c>
      <c r="D18" s="35" t="s">
        <v>50</v>
      </c>
      <c r="E18" s="61"/>
      <c r="F18" s="39"/>
      <c r="G18" s="61"/>
      <c r="H18" s="61"/>
      <c r="I18" s="40"/>
      <c r="J18" s="62"/>
      <c r="K18" s="38"/>
      <c r="L18" s="35"/>
      <c r="N18" s="31"/>
      <c r="O18" s="31"/>
      <c r="P18" s="31"/>
      <c r="Q18" s="31"/>
      <c r="R18" s="31"/>
      <c r="S18" s="74"/>
      <c r="T18" s="74"/>
      <c r="U18" s="31"/>
      <c r="V18" s="31"/>
      <c r="W18" s="31"/>
      <c r="X18" s="31"/>
      <c r="Y18" s="31"/>
      <c r="Z18" s="74"/>
      <c r="AA18" s="74"/>
      <c r="AB18" s="31"/>
      <c r="AC18" s="31"/>
      <c r="AD18" s="31"/>
      <c r="AE18" s="31"/>
      <c r="AF18" s="31"/>
      <c r="AG18" s="74"/>
      <c r="AH18" s="74"/>
      <c r="AI18" s="31"/>
      <c r="AJ18" s="31"/>
      <c r="AK18" s="31"/>
      <c r="AL18" s="31"/>
      <c r="AM18" s="31"/>
      <c r="AN18" s="74"/>
      <c r="AO18" s="74"/>
      <c r="AP18" s="31"/>
      <c r="AQ18" s="31"/>
      <c r="AR18" s="31"/>
      <c r="AS18" s="31"/>
      <c r="AT18" s="31"/>
      <c r="AU18" s="74"/>
      <c r="AV18" s="74"/>
      <c r="AW18" s="31"/>
      <c r="AX18" s="31"/>
      <c r="AY18" s="31"/>
      <c r="AZ18" s="31"/>
      <c r="BA18" s="31"/>
      <c r="BB18" s="74"/>
      <c r="BC18" s="74"/>
      <c r="BD18" s="31"/>
      <c r="BE18" s="31"/>
      <c r="BF18" s="31"/>
      <c r="BG18" s="31"/>
      <c r="BH18" s="31"/>
      <c r="BI18" s="74"/>
      <c r="BJ18" s="74"/>
      <c r="BK18" s="31"/>
      <c r="BL18" s="31"/>
      <c r="BM18" s="31"/>
      <c r="BN18" s="31"/>
      <c r="BO18" s="31"/>
      <c r="BP18" s="74"/>
      <c r="BQ18" s="74"/>
      <c r="BR18" s="31"/>
      <c r="BS18" s="31"/>
      <c r="BT18" s="31"/>
      <c r="BU18" s="31"/>
      <c r="BV18" s="31"/>
      <c r="BW18" s="74"/>
      <c r="BX18" s="74"/>
      <c r="BY18" s="31"/>
      <c r="BZ18" s="31"/>
      <c r="CA18" s="31"/>
      <c r="CB18" s="31"/>
      <c r="CC18" s="31"/>
      <c r="CD18" s="74"/>
      <c r="CE18" s="74"/>
      <c r="CF18" s="31"/>
      <c r="CG18" s="31"/>
      <c r="CH18" s="31"/>
      <c r="CI18" s="31"/>
      <c r="CJ18" s="31"/>
      <c r="CK18" s="74"/>
      <c r="CL18" s="74"/>
      <c r="CM18" s="31"/>
      <c r="CN18" s="31"/>
      <c r="CO18" s="31"/>
      <c r="CP18" s="31"/>
      <c r="CQ18" s="31"/>
      <c r="CR18" s="74"/>
      <c r="CS18" s="74"/>
      <c r="CT18" s="31"/>
      <c r="CU18" s="31"/>
      <c r="CV18" s="31"/>
      <c r="CW18" s="31"/>
      <c r="CX18" s="31"/>
      <c r="CY18" s="74"/>
      <c r="CZ18" s="74"/>
      <c r="DA18" s="31"/>
      <c r="DB18" s="31"/>
      <c r="DC18" s="31"/>
      <c r="DD18" s="31"/>
      <c r="DE18" s="31"/>
      <c r="DF18" s="74"/>
      <c r="DG18" s="74"/>
      <c r="DH18" s="31"/>
      <c r="DI18" s="31"/>
      <c r="DJ18" s="31"/>
      <c r="DK18" s="31"/>
      <c r="DL18" s="31"/>
      <c r="DM18" s="74"/>
      <c r="DN18" s="74"/>
      <c r="DO18" s="31"/>
      <c r="DP18" s="77"/>
      <c r="DQ18" s="31"/>
      <c r="DR18" s="31"/>
      <c r="DS18" s="31"/>
      <c r="DT18" s="74"/>
      <c r="DU18" s="74"/>
      <c r="DV18" s="31"/>
      <c r="DW18" s="31"/>
      <c r="DX18" s="31"/>
      <c r="DY18" s="31"/>
      <c r="DZ18" s="31"/>
      <c r="EA18" s="74"/>
      <c r="EB18" s="74"/>
      <c r="EC18" s="31"/>
      <c r="ED18" s="31"/>
      <c r="EE18" s="31"/>
      <c r="EF18" s="31"/>
      <c r="EG18" s="31"/>
      <c r="EH18" s="74"/>
      <c r="EI18" s="74"/>
      <c r="EJ18" s="31"/>
      <c r="EK18" s="31"/>
      <c r="EL18" s="31"/>
      <c r="EM18" s="31"/>
      <c r="EN18" s="31"/>
      <c r="EO18" s="74"/>
      <c r="EP18" s="74"/>
      <c r="EQ18" s="31"/>
      <c r="ER18" s="31"/>
      <c r="ES18" s="31"/>
      <c r="ET18" s="31"/>
      <c r="EU18" s="31"/>
      <c r="EV18" s="74"/>
      <c r="EW18" s="74"/>
      <c r="EX18" s="31"/>
      <c r="EY18" s="31"/>
      <c r="EZ18" s="31"/>
      <c r="FA18" s="31"/>
      <c r="FB18" s="31"/>
      <c r="FC18" s="74"/>
      <c r="FD18" s="74"/>
      <c r="FE18" s="31"/>
      <c r="FF18" s="31"/>
      <c r="FG18" s="31"/>
      <c r="FH18" s="31"/>
      <c r="FI18" s="31"/>
      <c r="FJ18" s="74"/>
      <c r="FK18" s="74"/>
      <c r="FL18" s="31"/>
      <c r="FM18" s="31"/>
      <c r="FN18" s="31"/>
      <c r="FO18" s="31"/>
      <c r="FP18" s="31"/>
      <c r="FQ18" s="74"/>
      <c r="FR18" s="74"/>
      <c r="FS18" s="31"/>
      <c r="FT18" s="31"/>
      <c r="FU18" s="31"/>
      <c r="FV18" s="31"/>
      <c r="FW18" s="31"/>
      <c r="FX18" s="74"/>
      <c r="FY18" s="74"/>
      <c r="FZ18" s="31"/>
      <c r="GA18" s="31"/>
      <c r="GB18" s="31"/>
      <c r="GC18" s="31"/>
      <c r="GD18" s="31"/>
      <c r="GE18" s="74"/>
      <c r="GF18" s="74"/>
      <c r="GG18" s="31"/>
      <c r="GH18" s="31"/>
      <c r="GI18" s="31"/>
      <c r="GJ18" s="31"/>
      <c r="GK18" s="31"/>
      <c r="GL18" s="74"/>
      <c r="GM18" s="74"/>
      <c r="GN18" s="31"/>
      <c r="GO18" s="31"/>
      <c r="GP18" s="31"/>
      <c r="GQ18" s="31"/>
      <c r="GR18" s="31"/>
      <c r="GS18" s="74"/>
      <c r="GT18" s="74"/>
      <c r="GU18" s="31"/>
      <c r="GV18" s="31"/>
      <c r="GW18" s="31"/>
      <c r="GX18" s="31"/>
      <c r="GY18" s="31"/>
      <c r="GZ18" s="74"/>
      <c r="HA18" s="74"/>
      <c r="HB18" s="31"/>
      <c r="HC18" s="31"/>
      <c r="HD18" s="31"/>
      <c r="HE18" s="31"/>
      <c r="HF18" s="31"/>
      <c r="HG18" s="74"/>
      <c r="HH18" s="74"/>
      <c r="HI18" s="31"/>
      <c r="HJ18" s="31"/>
      <c r="HK18" s="31"/>
      <c r="HL18" s="31"/>
      <c r="HM18" s="31"/>
      <c r="HN18" s="74"/>
      <c r="HO18" s="74"/>
      <c r="HP18" s="31"/>
      <c r="HQ18" s="31"/>
      <c r="HR18" s="31"/>
      <c r="HS18" s="31"/>
      <c r="HT18" s="31"/>
      <c r="HU18" s="74"/>
      <c r="HV18" s="74"/>
      <c r="HW18" s="31"/>
      <c r="HX18" s="31"/>
      <c r="HY18" s="31"/>
      <c r="HZ18" s="31"/>
      <c r="IA18" s="31"/>
      <c r="IB18" s="74"/>
      <c r="IC18" s="74"/>
      <c r="ID18" s="31"/>
      <c r="IE18" s="31"/>
      <c r="IF18" s="31"/>
      <c r="IG18" s="31"/>
      <c r="IH18" s="31"/>
      <c r="II18" s="74"/>
      <c r="IJ18" s="74"/>
      <c r="IK18" s="31"/>
      <c r="IL18" s="31"/>
      <c r="IM18" s="31"/>
      <c r="IN18" s="31"/>
      <c r="IO18" s="31"/>
      <c r="IP18" s="74"/>
      <c r="IQ18" s="74"/>
      <c r="IR18" s="31"/>
      <c r="IS18" s="31"/>
      <c r="IT18" s="31"/>
      <c r="IU18" s="31"/>
      <c r="IV18" s="31"/>
      <c r="IW18" s="74"/>
      <c r="IX18" s="74"/>
      <c r="IY18" s="31"/>
      <c r="IZ18" s="31"/>
      <c r="JA18" s="31"/>
      <c r="JB18" s="31"/>
      <c r="JC18" s="31"/>
      <c r="JD18" s="74"/>
      <c r="JE18" s="74"/>
      <c r="JF18" s="31"/>
      <c r="JG18" s="31"/>
      <c r="JH18" s="31"/>
      <c r="JI18" s="31"/>
      <c r="JJ18" s="31"/>
      <c r="JK18" s="74"/>
      <c r="JL18" s="74"/>
      <c r="JM18" s="31"/>
      <c r="JN18" s="31"/>
      <c r="JO18" s="31"/>
      <c r="JP18" s="31"/>
      <c r="JQ18" s="31"/>
      <c r="JR18" s="74"/>
      <c r="JS18" s="74"/>
      <c r="JT18" s="31"/>
      <c r="JU18" s="31"/>
      <c r="JV18" s="31"/>
      <c r="JW18" s="31"/>
      <c r="JX18" s="31"/>
      <c r="JY18" s="74"/>
      <c r="JZ18" s="74"/>
      <c r="KA18" s="31"/>
      <c r="KB18" s="31"/>
      <c r="KC18" s="31"/>
      <c r="KD18" s="31"/>
      <c r="KE18" s="31"/>
      <c r="KF18" s="74"/>
      <c r="KG18" s="74"/>
      <c r="KH18" s="31"/>
      <c r="KI18" s="31"/>
      <c r="KJ18" s="31"/>
      <c r="KK18" s="31"/>
      <c r="KL18" s="31"/>
      <c r="KM18" s="74"/>
      <c r="KN18" s="74"/>
      <c r="KO18" s="31"/>
      <c r="KP18" s="31"/>
      <c r="KQ18" s="31"/>
      <c r="KR18" s="31"/>
      <c r="KS18" s="31"/>
      <c r="KT18" s="74"/>
      <c r="KU18" s="74"/>
      <c r="KV18" s="31"/>
      <c r="KW18" s="31"/>
      <c r="KX18" s="31"/>
      <c r="KY18" s="31"/>
      <c r="KZ18" s="31"/>
      <c r="LA18" s="74"/>
      <c r="LB18" s="74"/>
      <c r="LC18" s="31"/>
      <c r="LD18" s="31"/>
      <c r="LE18" s="31"/>
      <c r="LF18" s="31"/>
      <c r="LG18" s="31"/>
      <c r="LH18" s="74"/>
      <c r="LI18" s="74"/>
      <c r="LJ18" s="31"/>
      <c r="LK18" s="31"/>
      <c r="LL18" s="31"/>
      <c r="LM18" s="31"/>
      <c r="LN18" s="31"/>
      <c r="LO18" s="74"/>
      <c r="LP18" s="74"/>
      <c r="LQ18" s="31"/>
      <c r="LR18" s="31"/>
      <c r="LS18" s="31"/>
      <c r="LT18" s="31"/>
      <c r="LU18" s="31"/>
      <c r="LV18" s="74"/>
      <c r="LW18" s="74"/>
      <c r="LX18" s="31"/>
      <c r="LY18" s="31"/>
      <c r="LZ18" s="31"/>
      <c r="MA18" s="31"/>
      <c r="MB18" s="31"/>
      <c r="MC18" s="74"/>
      <c r="MD18" s="74"/>
      <c r="ME18" s="31"/>
      <c r="MF18" s="31"/>
      <c r="MG18" s="31"/>
      <c r="MH18" s="31"/>
      <c r="MI18" s="31"/>
      <c r="MJ18" s="74"/>
      <c r="MK18" s="74"/>
      <c r="ML18" s="31"/>
      <c r="MM18" s="31"/>
      <c r="MN18" s="31"/>
      <c r="MO18" s="31"/>
      <c r="MP18" s="31"/>
      <c r="MQ18" s="74"/>
      <c r="MR18" s="74"/>
      <c r="MS18" s="31"/>
      <c r="MT18" s="31"/>
      <c r="MU18" s="31"/>
      <c r="MV18" s="31"/>
      <c r="MW18" s="31"/>
      <c r="MX18" s="74"/>
      <c r="MY18" s="74"/>
      <c r="MZ18" s="31"/>
      <c r="NA18" s="31"/>
      <c r="NB18" s="31"/>
      <c r="NC18" s="31"/>
      <c r="ND18" s="31"/>
      <c r="NE18" s="74"/>
      <c r="NF18" s="74"/>
      <c r="NG18" s="31"/>
      <c r="NH18" s="31"/>
      <c r="NI18" s="31"/>
      <c r="NJ18" s="31"/>
      <c r="NK18" s="31"/>
      <c r="NL18" s="74"/>
      <c r="NM18" s="74"/>
      <c r="NN18" s="31"/>
      <c r="NO18" s="31"/>
      <c r="NP18" s="31"/>
      <c r="NQ18" s="31"/>
      <c r="NR18" s="31"/>
      <c r="NS18" s="74"/>
      <c r="NT18" s="74"/>
    </row>
    <row r="19" spans="2:384" s="29" customFormat="1" ht="9" customHeight="1" x14ac:dyDescent="0.2">
      <c r="B19" s="63" t="s">
        <v>25</v>
      </c>
      <c r="C19" s="43" t="s">
        <v>57</v>
      </c>
      <c r="D19" s="43"/>
      <c r="E19" s="61"/>
      <c r="F19" s="39"/>
      <c r="G19" s="61"/>
      <c r="H19" s="61"/>
      <c r="I19" s="40"/>
      <c r="J19" s="62"/>
      <c r="K19" s="38"/>
      <c r="L19" s="35"/>
      <c r="N19" s="31"/>
      <c r="O19" s="31"/>
      <c r="P19" s="31"/>
      <c r="Q19" s="31"/>
      <c r="R19" s="31"/>
      <c r="S19" s="74"/>
      <c r="T19" s="74"/>
      <c r="U19" s="31"/>
      <c r="V19" s="31"/>
      <c r="W19" s="31"/>
      <c r="X19" s="31"/>
      <c r="Y19" s="31"/>
      <c r="Z19" s="74"/>
      <c r="AA19" s="74"/>
      <c r="AB19" s="31"/>
      <c r="AC19" s="31"/>
      <c r="AD19" s="31"/>
      <c r="AE19" s="31"/>
      <c r="AF19" s="31"/>
      <c r="AG19" s="74"/>
      <c r="AH19" s="74"/>
      <c r="AI19" s="31"/>
      <c r="AJ19" s="31"/>
      <c r="AK19" s="31"/>
      <c r="AL19" s="31"/>
      <c r="AM19" s="31"/>
      <c r="AN19" s="74"/>
      <c r="AO19" s="74"/>
      <c r="AP19" s="31"/>
      <c r="AQ19" s="31"/>
      <c r="AR19" s="31"/>
      <c r="AS19" s="31"/>
      <c r="AT19" s="31"/>
      <c r="AU19" s="74"/>
      <c r="AV19" s="74"/>
      <c r="AW19" s="31"/>
      <c r="AX19" s="31"/>
      <c r="AY19" s="31"/>
      <c r="AZ19" s="31"/>
      <c r="BA19" s="31"/>
      <c r="BB19" s="74"/>
      <c r="BC19" s="74"/>
      <c r="BD19" s="31"/>
      <c r="BE19" s="31"/>
      <c r="BF19" s="31"/>
      <c r="BG19" s="31"/>
      <c r="BH19" s="31"/>
      <c r="BI19" s="74"/>
      <c r="BJ19" s="74"/>
      <c r="BK19" s="31"/>
      <c r="BL19" s="31"/>
      <c r="BM19" s="31"/>
      <c r="BN19" s="31"/>
      <c r="BO19" s="31"/>
      <c r="BP19" s="74"/>
      <c r="BQ19" s="74"/>
      <c r="BR19" s="31"/>
      <c r="BS19" s="31"/>
      <c r="BT19" s="31"/>
      <c r="BU19" s="31"/>
      <c r="BV19" s="31"/>
      <c r="BW19" s="74"/>
      <c r="BX19" s="74"/>
      <c r="BY19" s="31"/>
      <c r="BZ19" s="31"/>
      <c r="CA19" s="31"/>
      <c r="CB19" s="31"/>
      <c r="CC19" s="31"/>
      <c r="CD19" s="74"/>
      <c r="CE19" s="74"/>
      <c r="CF19" s="31"/>
      <c r="CG19" s="31"/>
      <c r="CH19" s="31"/>
      <c r="CI19" s="31"/>
      <c r="CJ19" s="31"/>
      <c r="CK19" s="74"/>
      <c r="CL19" s="74"/>
      <c r="CM19" s="31"/>
      <c r="CN19" s="31"/>
      <c r="CO19" s="31"/>
      <c r="CP19" s="31"/>
      <c r="CQ19" s="31"/>
      <c r="CR19" s="74"/>
      <c r="CS19" s="74"/>
      <c r="CT19" s="31"/>
      <c r="CU19" s="31"/>
      <c r="CV19" s="31"/>
      <c r="CW19" s="31"/>
      <c r="CX19" s="31"/>
      <c r="CY19" s="74"/>
      <c r="CZ19" s="74"/>
      <c r="DA19" s="31"/>
      <c r="DB19" s="31"/>
      <c r="DC19" s="31"/>
      <c r="DD19" s="31"/>
      <c r="DE19" s="31"/>
      <c r="DF19" s="74"/>
      <c r="DG19" s="74"/>
      <c r="DH19" s="31"/>
      <c r="DI19" s="31"/>
      <c r="DJ19" s="31"/>
      <c r="DK19" s="31"/>
      <c r="DL19" s="31"/>
      <c r="DM19" s="74"/>
      <c r="DN19" s="74"/>
      <c r="DO19" s="31"/>
      <c r="DP19" s="77"/>
      <c r="DQ19" s="31"/>
      <c r="DR19" s="31"/>
      <c r="DS19" s="31"/>
      <c r="DT19" s="74"/>
      <c r="DU19" s="74"/>
      <c r="DV19" s="31"/>
      <c r="DW19" s="31"/>
      <c r="DX19" s="31"/>
      <c r="DY19" s="31"/>
      <c r="DZ19" s="31"/>
      <c r="EA19" s="74"/>
      <c r="EB19" s="74"/>
      <c r="EC19" s="31"/>
      <c r="ED19" s="31"/>
      <c r="EE19" s="31"/>
      <c r="EF19" s="31"/>
      <c r="EG19" s="31"/>
      <c r="EH19" s="74"/>
      <c r="EI19" s="74"/>
      <c r="EJ19" s="31"/>
      <c r="EK19" s="31"/>
      <c r="EL19" s="31"/>
      <c r="EM19" s="31"/>
      <c r="EN19" s="31"/>
      <c r="EO19" s="74"/>
      <c r="EP19" s="74"/>
      <c r="EQ19" s="31"/>
      <c r="ER19" s="31"/>
      <c r="ES19" s="31"/>
      <c r="ET19" s="31"/>
      <c r="EU19" s="31"/>
      <c r="EV19" s="74"/>
      <c r="EW19" s="74"/>
      <c r="EX19" s="31"/>
      <c r="EY19" s="31"/>
      <c r="EZ19" s="31"/>
      <c r="FA19" s="31"/>
      <c r="FB19" s="31"/>
      <c r="FC19" s="74"/>
      <c r="FD19" s="74"/>
      <c r="FE19" s="31"/>
      <c r="FF19" s="31"/>
      <c r="FG19" s="31"/>
      <c r="FH19" s="31"/>
      <c r="FI19" s="31"/>
      <c r="FJ19" s="74"/>
      <c r="FK19" s="74"/>
      <c r="FL19" s="31"/>
      <c r="FM19" s="31"/>
      <c r="FN19" s="31"/>
      <c r="FO19" s="31"/>
      <c r="FP19" s="31"/>
      <c r="FQ19" s="74"/>
      <c r="FR19" s="74"/>
      <c r="FS19" s="31"/>
      <c r="FT19" s="31"/>
      <c r="FU19" s="31"/>
      <c r="FV19" s="31"/>
      <c r="FW19" s="31"/>
      <c r="FX19" s="74"/>
      <c r="FY19" s="74"/>
      <c r="FZ19" s="31"/>
      <c r="GA19" s="31"/>
      <c r="GB19" s="31"/>
      <c r="GC19" s="31"/>
      <c r="GD19" s="31"/>
      <c r="GE19" s="74"/>
      <c r="GF19" s="74"/>
      <c r="GG19" s="31"/>
      <c r="GH19" s="31"/>
      <c r="GI19" s="31"/>
      <c r="GJ19" s="31"/>
      <c r="GK19" s="31"/>
      <c r="GL19" s="74"/>
      <c r="GM19" s="74"/>
      <c r="GN19" s="31"/>
      <c r="GO19" s="31"/>
      <c r="GP19" s="31"/>
      <c r="GQ19" s="31"/>
      <c r="GR19" s="31"/>
      <c r="GS19" s="74"/>
      <c r="GT19" s="74"/>
      <c r="GU19" s="31"/>
      <c r="GV19" s="31"/>
      <c r="GW19" s="31"/>
      <c r="GX19" s="31"/>
      <c r="GY19" s="31"/>
      <c r="GZ19" s="74"/>
      <c r="HA19" s="74"/>
      <c r="HB19" s="31"/>
      <c r="HC19" s="31"/>
      <c r="HD19" s="31"/>
      <c r="HE19" s="31"/>
      <c r="HF19" s="31"/>
      <c r="HG19" s="74"/>
      <c r="HH19" s="74"/>
      <c r="HI19" s="31"/>
      <c r="HJ19" s="31"/>
      <c r="HK19" s="31"/>
      <c r="HL19" s="31"/>
      <c r="HM19" s="31"/>
      <c r="HN19" s="74"/>
      <c r="HO19" s="74"/>
      <c r="HP19" s="31"/>
      <c r="HQ19" s="31"/>
      <c r="HR19" s="31"/>
      <c r="HS19" s="31"/>
      <c r="HT19" s="31"/>
      <c r="HU19" s="74"/>
      <c r="HV19" s="74"/>
      <c r="HW19" s="31"/>
      <c r="HX19" s="31"/>
      <c r="HY19" s="31"/>
      <c r="HZ19" s="31"/>
      <c r="IA19" s="31"/>
      <c r="IB19" s="74"/>
      <c r="IC19" s="74"/>
      <c r="ID19" s="31"/>
      <c r="IE19" s="31"/>
      <c r="IF19" s="31"/>
      <c r="IG19" s="31"/>
      <c r="IH19" s="31"/>
      <c r="II19" s="74"/>
      <c r="IJ19" s="74"/>
      <c r="IK19" s="31"/>
      <c r="IL19" s="31"/>
      <c r="IM19" s="31"/>
      <c r="IN19" s="31"/>
      <c r="IO19" s="31"/>
      <c r="IP19" s="74"/>
      <c r="IQ19" s="74"/>
      <c r="IR19" s="31"/>
      <c r="IS19" s="31"/>
      <c r="IT19" s="31"/>
      <c r="IU19" s="31"/>
      <c r="IV19" s="31"/>
      <c r="IW19" s="74"/>
      <c r="IX19" s="74"/>
      <c r="IY19" s="31"/>
      <c r="IZ19" s="31"/>
      <c r="JA19" s="31"/>
      <c r="JB19" s="31"/>
      <c r="JC19" s="31"/>
      <c r="JD19" s="74"/>
      <c r="JE19" s="74"/>
      <c r="JF19" s="31"/>
      <c r="JG19" s="31"/>
      <c r="JH19" s="31"/>
      <c r="JI19" s="31"/>
      <c r="JJ19" s="31"/>
      <c r="JK19" s="74"/>
      <c r="JL19" s="74"/>
      <c r="JM19" s="31"/>
      <c r="JN19" s="31"/>
      <c r="JO19" s="31"/>
      <c r="JP19" s="31"/>
      <c r="JQ19" s="31"/>
      <c r="JR19" s="74"/>
      <c r="JS19" s="74"/>
      <c r="JT19" s="31"/>
      <c r="JU19" s="31"/>
      <c r="JV19" s="31"/>
      <c r="JW19" s="31"/>
      <c r="JX19" s="31"/>
      <c r="JY19" s="74"/>
      <c r="JZ19" s="74"/>
      <c r="KA19" s="31"/>
      <c r="KB19" s="31"/>
      <c r="KC19" s="31"/>
      <c r="KD19" s="31"/>
      <c r="KE19" s="31"/>
      <c r="KF19" s="74"/>
      <c r="KG19" s="74"/>
      <c r="KH19" s="31"/>
      <c r="KI19" s="31"/>
      <c r="KJ19" s="31"/>
      <c r="KK19" s="31"/>
      <c r="KL19" s="31"/>
      <c r="KM19" s="74"/>
      <c r="KN19" s="74"/>
      <c r="KO19" s="31"/>
      <c r="KP19" s="31"/>
      <c r="KQ19" s="31"/>
      <c r="KR19" s="31"/>
      <c r="KS19" s="31"/>
      <c r="KT19" s="74"/>
      <c r="KU19" s="74"/>
      <c r="KV19" s="31"/>
      <c r="KW19" s="31"/>
      <c r="KX19" s="31"/>
      <c r="KY19" s="31"/>
      <c r="KZ19" s="31"/>
      <c r="LA19" s="74"/>
      <c r="LB19" s="74"/>
      <c r="LC19" s="31"/>
      <c r="LD19" s="31"/>
      <c r="LE19" s="31"/>
      <c r="LF19" s="31"/>
      <c r="LG19" s="31"/>
      <c r="LH19" s="74"/>
      <c r="LI19" s="74"/>
      <c r="LJ19" s="31"/>
      <c r="LK19" s="31"/>
      <c r="LL19" s="31"/>
      <c r="LM19" s="31"/>
      <c r="LN19" s="31"/>
      <c r="LO19" s="74"/>
      <c r="LP19" s="74"/>
      <c r="LQ19" s="31"/>
      <c r="LR19" s="31"/>
      <c r="LS19" s="31"/>
      <c r="LT19" s="31"/>
      <c r="LU19" s="31"/>
      <c r="LV19" s="74"/>
      <c r="LW19" s="74"/>
      <c r="LX19" s="31"/>
      <c r="LY19" s="31"/>
      <c r="LZ19" s="31"/>
      <c r="MA19" s="31"/>
      <c r="MB19" s="31"/>
      <c r="MC19" s="74"/>
      <c r="MD19" s="74"/>
      <c r="ME19" s="31"/>
      <c r="MF19" s="31"/>
      <c r="MG19" s="31"/>
      <c r="MH19" s="31"/>
      <c r="MI19" s="31"/>
      <c r="MJ19" s="74"/>
      <c r="MK19" s="74"/>
      <c r="ML19" s="31"/>
      <c r="MM19" s="31"/>
      <c r="MN19" s="31"/>
      <c r="MO19" s="31"/>
      <c r="MP19" s="31"/>
      <c r="MQ19" s="74"/>
      <c r="MR19" s="74"/>
      <c r="MS19" s="31"/>
      <c r="MT19" s="31"/>
      <c r="MU19" s="31"/>
      <c r="MV19" s="31"/>
      <c r="MW19" s="31"/>
      <c r="MX19" s="74"/>
      <c r="MY19" s="74"/>
      <c r="MZ19" s="31"/>
      <c r="NA19" s="31"/>
      <c r="NB19" s="31"/>
      <c r="NC19" s="31"/>
      <c r="ND19" s="31"/>
      <c r="NE19" s="74"/>
      <c r="NF19" s="74"/>
      <c r="NG19" s="31"/>
      <c r="NH19" s="31"/>
      <c r="NI19" s="31"/>
      <c r="NJ19" s="31"/>
      <c r="NK19" s="31"/>
      <c r="NL19" s="74"/>
      <c r="NM19" s="74"/>
      <c r="NN19" s="31"/>
      <c r="NO19" s="31"/>
      <c r="NP19" s="31"/>
      <c r="NQ19" s="31"/>
      <c r="NR19" s="31"/>
      <c r="NS19" s="74"/>
      <c r="NT19" s="74"/>
    </row>
    <row r="20" spans="2:384" s="29" customFormat="1" ht="9" customHeight="1" outlineLevel="1" x14ac:dyDescent="0.2">
      <c r="B20" s="64">
        <v>1</v>
      </c>
      <c r="C20" s="65" t="s">
        <v>59</v>
      </c>
      <c r="D20" s="65"/>
      <c r="E20" s="61"/>
      <c r="F20" s="39"/>
      <c r="G20" s="61"/>
      <c r="H20" s="61"/>
      <c r="I20" s="40"/>
      <c r="J20" s="62"/>
      <c r="K20" s="38"/>
      <c r="L20" s="35"/>
      <c r="N20" s="31"/>
      <c r="O20" s="31"/>
      <c r="P20" s="31"/>
      <c r="Q20" s="31"/>
      <c r="R20" s="31"/>
      <c r="S20" s="74"/>
      <c r="T20" s="74"/>
      <c r="U20" s="31"/>
      <c r="V20" s="31"/>
      <c r="W20" s="31"/>
      <c r="X20" s="31"/>
      <c r="Y20" s="31"/>
      <c r="Z20" s="74"/>
      <c r="AA20" s="74"/>
      <c r="AB20" s="31"/>
      <c r="AC20" s="31"/>
      <c r="AD20" s="31"/>
      <c r="AE20" s="31"/>
      <c r="AF20" s="31"/>
      <c r="AG20" s="74"/>
      <c r="AH20" s="74"/>
      <c r="AI20" s="31"/>
      <c r="AJ20" s="31"/>
      <c r="AK20" s="31"/>
      <c r="AL20" s="31"/>
      <c r="AM20" s="31"/>
      <c r="AN20" s="74"/>
      <c r="AO20" s="74"/>
      <c r="AP20" s="31"/>
      <c r="AQ20" s="31"/>
      <c r="AR20" s="31"/>
      <c r="AS20" s="31"/>
      <c r="AT20" s="31"/>
      <c r="AU20" s="74"/>
      <c r="AV20" s="74"/>
      <c r="AW20" s="31"/>
      <c r="AX20" s="31"/>
      <c r="AY20" s="31"/>
      <c r="AZ20" s="31"/>
      <c r="BA20" s="31"/>
      <c r="BB20" s="74"/>
      <c r="BC20" s="74"/>
      <c r="BD20" s="31"/>
      <c r="BE20" s="31"/>
      <c r="BF20" s="31"/>
      <c r="BG20" s="31"/>
      <c r="BH20" s="31"/>
      <c r="BI20" s="74"/>
      <c r="BJ20" s="74"/>
      <c r="BK20" s="31"/>
      <c r="BL20" s="31"/>
      <c r="BM20" s="31"/>
      <c r="BN20" s="31"/>
      <c r="BO20" s="31"/>
      <c r="BP20" s="74"/>
      <c r="BQ20" s="74"/>
      <c r="BR20" s="31"/>
      <c r="BS20" s="31"/>
      <c r="BT20" s="31"/>
      <c r="BU20" s="31"/>
      <c r="BV20" s="31"/>
      <c r="BW20" s="74"/>
      <c r="BX20" s="74"/>
      <c r="BY20" s="31"/>
      <c r="BZ20" s="31"/>
      <c r="CA20" s="31"/>
      <c r="CB20" s="31"/>
      <c r="CC20" s="31"/>
      <c r="CD20" s="74"/>
      <c r="CE20" s="74"/>
      <c r="CF20" s="31"/>
      <c r="CG20" s="31"/>
      <c r="CH20" s="31"/>
      <c r="CI20" s="31"/>
      <c r="CJ20" s="31"/>
      <c r="CK20" s="74"/>
      <c r="CL20" s="74"/>
      <c r="CM20" s="31"/>
      <c r="CN20" s="31"/>
      <c r="CO20" s="31"/>
      <c r="CP20" s="31"/>
      <c r="CQ20" s="31"/>
      <c r="CR20" s="74"/>
      <c r="CS20" s="74"/>
      <c r="CT20" s="31"/>
      <c r="CU20" s="31"/>
      <c r="CV20" s="31"/>
      <c r="CW20" s="31"/>
      <c r="CX20" s="31"/>
      <c r="CY20" s="74"/>
      <c r="CZ20" s="74"/>
      <c r="DA20" s="31"/>
      <c r="DB20" s="31"/>
      <c r="DC20" s="31"/>
      <c r="DD20" s="31"/>
      <c r="DE20" s="31"/>
      <c r="DF20" s="74"/>
      <c r="DG20" s="74"/>
      <c r="DH20" s="31"/>
      <c r="DI20" s="31"/>
      <c r="DJ20" s="31"/>
      <c r="DK20" s="31"/>
      <c r="DL20" s="31"/>
      <c r="DM20" s="74"/>
      <c r="DN20" s="74"/>
      <c r="DO20" s="31"/>
      <c r="DP20" s="77"/>
      <c r="DQ20" s="31"/>
      <c r="DR20" s="31"/>
      <c r="DS20" s="31"/>
      <c r="DT20" s="74"/>
      <c r="DU20" s="74"/>
      <c r="DV20" s="31"/>
      <c r="DW20" s="31"/>
      <c r="DX20" s="31"/>
      <c r="DY20" s="31"/>
      <c r="DZ20" s="31"/>
      <c r="EA20" s="74"/>
      <c r="EB20" s="74"/>
      <c r="EC20" s="31"/>
      <c r="ED20" s="31"/>
      <c r="EE20" s="31"/>
      <c r="EF20" s="31"/>
      <c r="EG20" s="31"/>
      <c r="EH20" s="74"/>
      <c r="EI20" s="74"/>
      <c r="EJ20" s="31"/>
      <c r="EK20" s="31"/>
      <c r="EL20" s="31"/>
      <c r="EM20" s="31"/>
      <c r="EN20" s="31"/>
      <c r="EO20" s="74"/>
      <c r="EP20" s="74"/>
      <c r="EQ20" s="31"/>
      <c r="ER20" s="31"/>
      <c r="ES20" s="31"/>
      <c r="ET20" s="31"/>
      <c r="EU20" s="31"/>
      <c r="EV20" s="74"/>
      <c r="EW20" s="74"/>
      <c r="EX20" s="31"/>
      <c r="EY20" s="31"/>
      <c r="EZ20" s="31"/>
      <c r="FA20" s="31"/>
      <c r="FB20" s="31"/>
      <c r="FC20" s="74"/>
      <c r="FD20" s="74"/>
      <c r="FE20" s="31"/>
      <c r="FF20" s="31"/>
      <c r="FG20" s="31"/>
      <c r="FH20" s="31"/>
      <c r="FI20" s="31"/>
      <c r="FJ20" s="74"/>
      <c r="FK20" s="74"/>
      <c r="FL20" s="31"/>
      <c r="FM20" s="31"/>
      <c r="FN20" s="31"/>
      <c r="FO20" s="31"/>
      <c r="FP20" s="31"/>
      <c r="FQ20" s="74"/>
      <c r="FR20" s="74"/>
      <c r="FS20" s="31"/>
      <c r="FT20" s="31"/>
      <c r="FU20" s="31"/>
      <c r="FV20" s="31"/>
      <c r="FW20" s="31"/>
      <c r="FX20" s="74"/>
      <c r="FY20" s="74"/>
      <c r="FZ20" s="31"/>
      <c r="GA20" s="31"/>
      <c r="GB20" s="31"/>
      <c r="GC20" s="31"/>
      <c r="GD20" s="31"/>
      <c r="GE20" s="74"/>
      <c r="GF20" s="74"/>
      <c r="GG20" s="31"/>
      <c r="GH20" s="31"/>
      <c r="GI20" s="31"/>
      <c r="GJ20" s="31"/>
      <c r="GK20" s="31"/>
      <c r="GL20" s="74"/>
      <c r="GM20" s="74"/>
      <c r="GN20" s="31"/>
      <c r="GO20" s="31"/>
      <c r="GP20" s="31"/>
      <c r="GQ20" s="31"/>
      <c r="GR20" s="31"/>
      <c r="GS20" s="74"/>
      <c r="GT20" s="74"/>
      <c r="GU20" s="31"/>
      <c r="GV20" s="31"/>
      <c r="GW20" s="31"/>
      <c r="GX20" s="31"/>
      <c r="GY20" s="31"/>
      <c r="GZ20" s="74"/>
      <c r="HA20" s="74"/>
      <c r="HB20" s="31"/>
      <c r="HC20" s="31"/>
      <c r="HD20" s="31"/>
      <c r="HE20" s="31"/>
      <c r="HF20" s="31"/>
      <c r="HG20" s="74"/>
      <c r="HH20" s="74"/>
      <c r="HI20" s="31"/>
      <c r="HJ20" s="31"/>
      <c r="HK20" s="31"/>
      <c r="HL20" s="31"/>
      <c r="HM20" s="31"/>
      <c r="HN20" s="74"/>
      <c r="HO20" s="74"/>
      <c r="HP20" s="31"/>
      <c r="HQ20" s="31"/>
      <c r="HR20" s="31"/>
      <c r="HS20" s="31"/>
      <c r="HT20" s="31"/>
      <c r="HU20" s="74"/>
      <c r="HV20" s="74"/>
      <c r="HW20" s="31"/>
      <c r="HX20" s="31"/>
      <c r="HY20" s="31"/>
      <c r="HZ20" s="31"/>
      <c r="IA20" s="31"/>
      <c r="IB20" s="74"/>
      <c r="IC20" s="74"/>
      <c r="ID20" s="31"/>
      <c r="IE20" s="31"/>
      <c r="IF20" s="31"/>
      <c r="IG20" s="31"/>
      <c r="IH20" s="31"/>
      <c r="II20" s="74"/>
      <c r="IJ20" s="74"/>
      <c r="IK20" s="31"/>
      <c r="IL20" s="31"/>
      <c r="IM20" s="31"/>
      <c r="IN20" s="31"/>
      <c r="IO20" s="31"/>
      <c r="IP20" s="74"/>
      <c r="IQ20" s="74"/>
      <c r="IR20" s="31"/>
      <c r="IS20" s="31"/>
      <c r="IT20" s="31"/>
      <c r="IU20" s="31"/>
      <c r="IV20" s="31"/>
      <c r="IW20" s="74"/>
      <c r="IX20" s="74"/>
      <c r="IY20" s="31"/>
      <c r="IZ20" s="31"/>
      <c r="JA20" s="31"/>
      <c r="JB20" s="31"/>
      <c r="JC20" s="31"/>
      <c r="JD20" s="74"/>
      <c r="JE20" s="74"/>
      <c r="JF20" s="31"/>
      <c r="JG20" s="31"/>
      <c r="JH20" s="31"/>
      <c r="JI20" s="31"/>
      <c r="JJ20" s="31"/>
      <c r="JK20" s="74"/>
      <c r="JL20" s="74"/>
      <c r="JM20" s="31"/>
      <c r="JN20" s="31"/>
      <c r="JO20" s="31"/>
      <c r="JP20" s="31"/>
      <c r="JQ20" s="31"/>
      <c r="JR20" s="74"/>
      <c r="JS20" s="74"/>
      <c r="JT20" s="31"/>
      <c r="JU20" s="31"/>
      <c r="JV20" s="31"/>
      <c r="JW20" s="31"/>
      <c r="JX20" s="31"/>
      <c r="JY20" s="74"/>
      <c r="JZ20" s="74"/>
      <c r="KA20" s="31"/>
      <c r="KB20" s="31"/>
      <c r="KC20" s="31"/>
      <c r="KD20" s="31"/>
      <c r="KE20" s="31"/>
      <c r="KF20" s="74"/>
      <c r="KG20" s="74"/>
      <c r="KH20" s="31"/>
      <c r="KI20" s="31"/>
      <c r="KJ20" s="31"/>
      <c r="KK20" s="31"/>
      <c r="KL20" s="31"/>
      <c r="KM20" s="74"/>
      <c r="KN20" s="74"/>
      <c r="KO20" s="31"/>
      <c r="KP20" s="31"/>
      <c r="KQ20" s="31"/>
      <c r="KR20" s="31"/>
      <c r="KS20" s="31"/>
      <c r="KT20" s="74"/>
      <c r="KU20" s="74"/>
      <c r="KV20" s="31"/>
      <c r="KW20" s="31"/>
      <c r="KX20" s="31"/>
      <c r="KY20" s="31"/>
      <c r="KZ20" s="31"/>
      <c r="LA20" s="74"/>
      <c r="LB20" s="74"/>
      <c r="LC20" s="31"/>
      <c r="LD20" s="31"/>
      <c r="LE20" s="31"/>
      <c r="LF20" s="31"/>
      <c r="LG20" s="31"/>
      <c r="LH20" s="74"/>
      <c r="LI20" s="74"/>
      <c r="LJ20" s="31"/>
      <c r="LK20" s="31"/>
      <c r="LL20" s="31"/>
      <c r="LM20" s="31"/>
      <c r="LN20" s="31"/>
      <c r="LO20" s="74"/>
      <c r="LP20" s="74"/>
      <c r="LQ20" s="31"/>
      <c r="LR20" s="31"/>
      <c r="LS20" s="31"/>
      <c r="LT20" s="31"/>
      <c r="LU20" s="31"/>
      <c r="LV20" s="74"/>
      <c r="LW20" s="74"/>
      <c r="LX20" s="31"/>
      <c r="LY20" s="31"/>
      <c r="LZ20" s="31"/>
      <c r="MA20" s="31"/>
      <c r="MB20" s="31"/>
      <c r="MC20" s="74"/>
      <c r="MD20" s="74"/>
      <c r="ME20" s="31"/>
      <c r="MF20" s="31"/>
      <c r="MG20" s="31"/>
      <c r="MH20" s="31"/>
      <c r="MI20" s="31"/>
      <c r="MJ20" s="74"/>
      <c r="MK20" s="74"/>
      <c r="ML20" s="31"/>
      <c r="MM20" s="31"/>
      <c r="MN20" s="31"/>
      <c r="MO20" s="31"/>
      <c r="MP20" s="31"/>
      <c r="MQ20" s="74"/>
      <c r="MR20" s="74"/>
      <c r="MS20" s="31"/>
      <c r="MT20" s="31"/>
      <c r="MU20" s="31"/>
      <c r="MV20" s="31"/>
      <c r="MW20" s="31"/>
      <c r="MX20" s="74"/>
      <c r="MY20" s="74"/>
      <c r="MZ20" s="31"/>
      <c r="NA20" s="31"/>
      <c r="NB20" s="31"/>
      <c r="NC20" s="31"/>
      <c r="ND20" s="31"/>
      <c r="NE20" s="74"/>
      <c r="NF20" s="74"/>
      <c r="NG20" s="31"/>
      <c r="NH20" s="31"/>
      <c r="NI20" s="31"/>
      <c r="NJ20" s="31"/>
      <c r="NK20" s="31"/>
      <c r="NL20" s="74"/>
      <c r="NM20" s="74"/>
      <c r="NN20" s="31"/>
      <c r="NO20" s="31"/>
      <c r="NP20" s="31"/>
      <c r="NQ20" s="31"/>
      <c r="NR20" s="31"/>
      <c r="NS20" s="74"/>
      <c r="NT20" s="74"/>
    </row>
    <row r="21" spans="2:384" s="29" customFormat="1" ht="9" customHeight="1" outlineLevel="2" x14ac:dyDescent="0.2">
      <c r="B21" s="78">
        <v>1.01</v>
      </c>
      <c r="C21" s="35" t="s">
        <v>60</v>
      </c>
      <c r="D21" s="35" t="s">
        <v>50</v>
      </c>
      <c r="E21" s="61"/>
      <c r="F21" s="39"/>
      <c r="G21" s="61"/>
      <c r="H21" s="61"/>
      <c r="I21" s="40"/>
      <c r="J21" s="62"/>
      <c r="K21" s="38"/>
      <c r="L21" s="35"/>
      <c r="N21" s="31"/>
      <c r="O21" s="31"/>
      <c r="P21" s="31"/>
      <c r="Q21" s="31"/>
      <c r="R21" s="31"/>
      <c r="S21" s="74"/>
      <c r="T21" s="74"/>
      <c r="U21" s="31"/>
      <c r="V21" s="31"/>
      <c r="W21" s="31"/>
      <c r="X21" s="31"/>
      <c r="Y21" s="31"/>
      <c r="Z21" s="74"/>
      <c r="AA21" s="74"/>
      <c r="AB21" s="31"/>
      <c r="AC21" s="31"/>
      <c r="AD21" s="31"/>
      <c r="AE21" s="31"/>
      <c r="AF21" s="31"/>
      <c r="AG21" s="74"/>
      <c r="AH21" s="74"/>
      <c r="AI21" s="31"/>
      <c r="AJ21" s="31"/>
      <c r="AK21" s="31"/>
      <c r="AL21" s="31"/>
      <c r="AM21" s="31"/>
      <c r="AN21" s="74"/>
      <c r="AO21" s="74"/>
      <c r="AP21" s="31"/>
      <c r="AQ21" s="31"/>
      <c r="AR21" s="31"/>
      <c r="AS21" s="31"/>
      <c r="AT21" s="31"/>
      <c r="AU21" s="74"/>
      <c r="AV21" s="74"/>
      <c r="AW21" s="31"/>
      <c r="AX21" s="31"/>
      <c r="AY21" s="31"/>
      <c r="AZ21" s="31"/>
      <c r="BA21" s="31"/>
      <c r="BB21" s="74"/>
      <c r="BC21" s="74"/>
      <c r="BD21" s="31"/>
      <c r="BE21" s="31"/>
      <c r="BF21" s="31"/>
      <c r="BG21" s="31"/>
      <c r="BH21" s="31"/>
      <c r="BI21" s="74"/>
      <c r="BJ21" s="74"/>
      <c r="BK21" s="31"/>
      <c r="BL21" s="31"/>
      <c r="BM21" s="31"/>
      <c r="BN21" s="31"/>
      <c r="BO21" s="31"/>
      <c r="BP21" s="74"/>
      <c r="BQ21" s="74"/>
      <c r="BR21" s="31"/>
      <c r="BS21" s="31"/>
      <c r="BT21" s="31"/>
      <c r="BU21" s="31"/>
      <c r="BV21" s="31"/>
      <c r="BW21" s="74"/>
      <c r="BX21" s="74"/>
      <c r="BY21" s="31"/>
      <c r="BZ21" s="31"/>
      <c r="CA21" s="31"/>
      <c r="CB21" s="31"/>
      <c r="CC21" s="31"/>
      <c r="CD21" s="74"/>
      <c r="CE21" s="74"/>
      <c r="CF21" s="31"/>
      <c r="CG21" s="31"/>
      <c r="CH21" s="31"/>
      <c r="CI21" s="31"/>
      <c r="CJ21" s="31"/>
      <c r="CK21" s="74"/>
      <c r="CL21" s="74"/>
      <c r="CM21" s="31"/>
      <c r="CN21" s="31"/>
      <c r="CO21" s="31"/>
      <c r="CP21" s="31"/>
      <c r="CQ21" s="31"/>
      <c r="CR21" s="74"/>
      <c r="CS21" s="74"/>
      <c r="CT21" s="31"/>
      <c r="CU21" s="31"/>
      <c r="CV21" s="31"/>
      <c r="CW21" s="31"/>
      <c r="CX21" s="31"/>
      <c r="CY21" s="74"/>
      <c r="CZ21" s="74"/>
      <c r="DA21" s="31"/>
      <c r="DB21" s="31"/>
      <c r="DC21" s="31"/>
      <c r="DD21" s="31"/>
      <c r="DE21" s="31"/>
      <c r="DF21" s="74"/>
      <c r="DG21" s="74"/>
      <c r="DH21" s="31"/>
      <c r="DI21" s="31"/>
      <c r="DJ21" s="31"/>
      <c r="DK21" s="31"/>
      <c r="DL21" s="31"/>
      <c r="DM21" s="74"/>
      <c r="DN21" s="74"/>
      <c r="DO21" s="31"/>
      <c r="DP21" s="77"/>
      <c r="DQ21" s="31"/>
      <c r="DR21" s="31"/>
      <c r="DS21" s="31"/>
      <c r="DT21" s="74"/>
      <c r="DU21" s="74"/>
      <c r="DV21" s="31"/>
      <c r="DW21" s="31"/>
      <c r="DX21" s="31"/>
      <c r="DY21" s="31"/>
      <c r="DZ21" s="31"/>
      <c r="EA21" s="74"/>
      <c r="EB21" s="74"/>
      <c r="EC21" s="31"/>
      <c r="ED21" s="31"/>
      <c r="EE21" s="31"/>
      <c r="EF21" s="31"/>
      <c r="EG21" s="31"/>
      <c r="EH21" s="74"/>
      <c r="EI21" s="74"/>
      <c r="EJ21" s="31"/>
      <c r="EK21" s="31"/>
      <c r="EL21" s="31"/>
      <c r="EM21" s="31"/>
      <c r="EN21" s="31"/>
      <c r="EO21" s="74"/>
      <c r="EP21" s="74"/>
      <c r="EQ21" s="31"/>
      <c r="ER21" s="31"/>
      <c r="ES21" s="31"/>
      <c r="ET21" s="31"/>
      <c r="EU21" s="31"/>
      <c r="EV21" s="74"/>
      <c r="EW21" s="74"/>
      <c r="EX21" s="31"/>
      <c r="EY21" s="31"/>
      <c r="EZ21" s="31"/>
      <c r="FA21" s="31"/>
      <c r="FB21" s="31"/>
      <c r="FC21" s="74"/>
      <c r="FD21" s="74"/>
      <c r="FE21" s="31"/>
      <c r="FF21" s="31"/>
      <c r="FG21" s="31"/>
      <c r="FH21" s="31"/>
      <c r="FI21" s="31"/>
      <c r="FJ21" s="74"/>
      <c r="FK21" s="74"/>
      <c r="FL21" s="31"/>
      <c r="FM21" s="31"/>
      <c r="FN21" s="31"/>
      <c r="FO21" s="31"/>
      <c r="FP21" s="31"/>
      <c r="FQ21" s="74"/>
      <c r="FR21" s="74"/>
      <c r="FS21" s="31"/>
      <c r="FT21" s="31"/>
      <c r="FU21" s="31"/>
      <c r="FV21" s="31"/>
      <c r="FW21" s="31"/>
      <c r="FX21" s="74"/>
      <c r="FY21" s="74"/>
      <c r="FZ21" s="31"/>
      <c r="GA21" s="31"/>
      <c r="GB21" s="31"/>
      <c r="GC21" s="31"/>
      <c r="GD21" s="31"/>
      <c r="GE21" s="74"/>
      <c r="GF21" s="74"/>
      <c r="GG21" s="31"/>
      <c r="GH21" s="31"/>
      <c r="GI21" s="31"/>
      <c r="GJ21" s="31"/>
      <c r="GK21" s="31"/>
      <c r="GL21" s="74"/>
      <c r="GM21" s="74"/>
      <c r="GN21" s="31"/>
      <c r="GO21" s="31"/>
      <c r="GP21" s="31"/>
      <c r="GQ21" s="31"/>
      <c r="GR21" s="31"/>
      <c r="GS21" s="74"/>
      <c r="GT21" s="74"/>
      <c r="GU21" s="31"/>
      <c r="GV21" s="31"/>
      <c r="GW21" s="31"/>
      <c r="GX21" s="31"/>
      <c r="GY21" s="31"/>
      <c r="GZ21" s="74"/>
      <c r="HA21" s="74"/>
      <c r="HB21" s="31"/>
      <c r="HC21" s="31"/>
      <c r="HD21" s="31"/>
      <c r="HE21" s="31"/>
      <c r="HF21" s="31"/>
      <c r="HG21" s="74"/>
      <c r="HH21" s="74"/>
      <c r="HI21" s="31"/>
      <c r="HJ21" s="31"/>
      <c r="HK21" s="31"/>
      <c r="HL21" s="31"/>
      <c r="HM21" s="31"/>
      <c r="HN21" s="74"/>
      <c r="HO21" s="74"/>
      <c r="HP21" s="31"/>
      <c r="HQ21" s="31"/>
      <c r="HR21" s="31"/>
      <c r="HS21" s="31"/>
      <c r="HT21" s="31"/>
      <c r="HU21" s="74"/>
      <c r="HV21" s="74"/>
      <c r="HW21" s="31"/>
      <c r="HX21" s="31"/>
      <c r="HY21" s="31"/>
      <c r="HZ21" s="31"/>
      <c r="IA21" s="31"/>
      <c r="IB21" s="74"/>
      <c r="IC21" s="74"/>
      <c r="ID21" s="31"/>
      <c r="IE21" s="31"/>
      <c r="IF21" s="31"/>
      <c r="IG21" s="31"/>
      <c r="IH21" s="31"/>
      <c r="II21" s="74"/>
      <c r="IJ21" s="74"/>
      <c r="IK21" s="31"/>
      <c r="IL21" s="31"/>
      <c r="IM21" s="31"/>
      <c r="IN21" s="31"/>
      <c r="IO21" s="31"/>
      <c r="IP21" s="74"/>
      <c r="IQ21" s="74"/>
      <c r="IR21" s="31"/>
      <c r="IS21" s="31"/>
      <c r="IT21" s="31"/>
      <c r="IU21" s="31"/>
      <c r="IV21" s="31"/>
      <c r="IW21" s="74"/>
      <c r="IX21" s="74"/>
      <c r="IY21" s="31"/>
      <c r="IZ21" s="31"/>
      <c r="JA21" s="31"/>
      <c r="JB21" s="31"/>
      <c r="JC21" s="31"/>
      <c r="JD21" s="74"/>
      <c r="JE21" s="74"/>
      <c r="JF21" s="31"/>
      <c r="JG21" s="31"/>
      <c r="JH21" s="31"/>
      <c r="JI21" s="31"/>
      <c r="JJ21" s="31"/>
      <c r="JK21" s="74"/>
      <c r="JL21" s="74"/>
      <c r="JM21" s="31"/>
      <c r="JN21" s="31"/>
      <c r="JO21" s="31"/>
      <c r="JP21" s="31"/>
      <c r="JQ21" s="31"/>
      <c r="JR21" s="74"/>
      <c r="JS21" s="74"/>
      <c r="JT21" s="31"/>
      <c r="JU21" s="31"/>
      <c r="JV21" s="31"/>
      <c r="JW21" s="31"/>
      <c r="JX21" s="31"/>
      <c r="JY21" s="74"/>
      <c r="JZ21" s="74"/>
      <c r="KA21" s="31"/>
      <c r="KB21" s="31"/>
      <c r="KC21" s="31"/>
      <c r="KD21" s="31"/>
      <c r="KE21" s="31"/>
      <c r="KF21" s="74"/>
      <c r="KG21" s="74"/>
      <c r="KH21" s="31"/>
      <c r="KI21" s="31"/>
      <c r="KJ21" s="31"/>
      <c r="KK21" s="31"/>
      <c r="KL21" s="31"/>
      <c r="KM21" s="74"/>
      <c r="KN21" s="74"/>
      <c r="KO21" s="31"/>
      <c r="KP21" s="31"/>
      <c r="KQ21" s="31"/>
      <c r="KR21" s="31"/>
      <c r="KS21" s="31"/>
      <c r="KT21" s="74"/>
      <c r="KU21" s="74"/>
      <c r="KV21" s="31"/>
      <c r="KW21" s="31"/>
      <c r="KX21" s="31"/>
      <c r="KY21" s="31"/>
      <c r="KZ21" s="31"/>
      <c r="LA21" s="74"/>
      <c r="LB21" s="74"/>
      <c r="LC21" s="31"/>
      <c r="LD21" s="31"/>
      <c r="LE21" s="31"/>
      <c r="LF21" s="31"/>
      <c r="LG21" s="31"/>
      <c r="LH21" s="74"/>
      <c r="LI21" s="74"/>
      <c r="LJ21" s="31"/>
      <c r="LK21" s="31"/>
      <c r="LL21" s="31"/>
      <c r="LM21" s="31"/>
      <c r="LN21" s="31"/>
      <c r="LO21" s="74"/>
      <c r="LP21" s="74"/>
      <c r="LQ21" s="31"/>
      <c r="LR21" s="31"/>
      <c r="LS21" s="31"/>
      <c r="LT21" s="31"/>
      <c r="LU21" s="31"/>
      <c r="LV21" s="74"/>
      <c r="LW21" s="74"/>
      <c r="LX21" s="31"/>
      <c r="LY21" s="31"/>
      <c r="LZ21" s="31"/>
      <c r="MA21" s="31"/>
      <c r="MB21" s="31"/>
      <c r="MC21" s="74"/>
      <c r="MD21" s="74"/>
      <c r="ME21" s="31"/>
      <c r="MF21" s="31"/>
      <c r="MG21" s="31"/>
      <c r="MH21" s="31"/>
      <c r="MI21" s="31"/>
      <c r="MJ21" s="74"/>
      <c r="MK21" s="74"/>
      <c r="ML21" s="31"/>
      <c r="MM21" s="31"/>
      <c r="MN21" s="31"/>
      <c r="MO21" s="31"/>
      <c r="MP21" s="31"/>
      <c r="MQ21" s="74"/>
      <c r="MR21" s="74"/>
      <c r="MS21" s="31"/>
      <c r="MT21" s="31"/>
      <c r="MU21" s="31"/>
      <c r="MV21" s="31"/>
      <c r="MW21" s="31"/>
      <c r="MX21" s="74"/>
      <c r="MY21" s="74"/>
      <c r="MZ21" s="31"/>
      <c r="NA21" s="31"/>
      <c r="NB21" s="31"/>
      <c r="NC21" s="31"/>
      <c r="ND21" s="31"/>
      <c r="NE21" s="74"/>
      <c r="NF21" s="74"/>
      <c r="NG21" s="31"/>
      <c r="NH21" s="31"/>
      <c r="NI21" s="31"/>
      <c r="NJ21" s="31"/>
      <c r="NK21" s="31"/>
      <c r="NL21" s="74"/>
      <c r="NM21" s="74"/>
      <c r="NN21" s="31"/>
      <c r="NO21" s="31"/>
      <c r="NP21" s="31"/>
      <c r="NQ21" s="31"/>
      <c r="NR21" s="31"/>
      <c r="NS21" s="74"/>
      <c r="NT21" s="74"/>
    </row>
    <row r="22" spans="2:384" s="29" customFormat="1" ht="9" customHeight="1" outlineLevel="2" x14ac:dyDescent="0.2">
      <c r="B22" s="78">
        <v>1.02</v>
      </c>
      <c r="C22" s="35" t="s">
        <v>58</v>
      </c>
      <c r="D22" s="35" t="s">
        <v>50</v>
      </c>
      <c r="E22" s="61"/>
      <c r="F22" s="39"/>
      <c r="G22" s="61"/>
      <c r="H22" s="61"/>
      <c r="I22" s="40"/>
      <c r="J22" s="62"/>
      <c r="K22" s="38"/>
      <c r="L22" s="35"/>
      <c r="N22" s="31"/>
      <c r="O22" s="31"/>
      <c r="P22" s="31"/>
      <c r="Q22" s="31"/>
      <c r="R22" s="31"/>
      <c r="S22" s="74"/>
      <c r="T22" s="74"/>
      <c r="U22" s="31"/>
      <c r="V22" s="31"/>
      <c r="W22" s="31"/>
      <c r="X22" s="31"/>
      <c r="Y22" s="31"/>
      <c r="Z22" s="74"/>
      <c r="AA22" s="74"/>
      <c r="AB22" s="31"/>
      <c r="AC22" s="31"/>
      <c r="AD22" s="31"/>
      <c r="AE22" s="31"/>
      <c r="AF22" s="31"/>
      <c r="AG22" s="74"/>
      <c r="AH22" s="74"/>
      <c r="AI22" s="31"/>
      <c r="AJ22" s="31"/>
      <c r="AK22" s="31"/>
      <c r="AL22" s="31"/>
      <c r="AM22" s="31"/>
      <c r="AN22" s="74"/>
      <c r="AO22" s="74"/>
      <c r="AP22" s="31"/>
      <c r="AQ22" s="31"/>
      <c r="AR22" s="31"/>
      <c r="AS22" s="31"/>
      <c r="AT22" s="31"/>
      <c r="AU22" s="74"/>
      <c r="AV22" s="74"/>
      <c r="AW22" s="31"/>
      <c r="AX22" s="31"/>
      <c r="AY22" s="31"/>
      <c r="AZ22" s="31"/>
      <c r="BA22" s="31"/>
      <c r="BB22" s="74"/>
      <c r="BC22" s="74"/>
      <c r="BD22" s="31"/>
      <c r="BE22" s="31"/>
      <c r="BF22" s="31"/>
      <c r="BG22" s="31"/>
      <c r="BH22" s="31"/>
      <c r="BI22" s="74"/>
      <c r="BJ22" s="74"/>
      <c r="BK22" s="31"/>
      <c r="BL22" s="31"/>
      <c r="BM22" s="31"/>
      <c r="BN22" s="31"/>
      <c r="BO22" s="31"/>
      <c r="BP22" s="74"/>
      <c r="BQ22" s="74"/>
      <c r="BR22" s="31"/>
      <c r="BS22" s="31"/>
      <c r="BT22" s="31"/>
      <c r="BU22" s="31"/>
      <c r="BV22" s="31"/>
      <c r="BW22" s="74"/>
      <c r="BX22" s="74"/>
      <c r="BY22" s="31"/>
      <c r="BZ22" s="31"/>
      <c r="CA22" s="31"/>
      <c r="CB22" s="31"/>
      <c r="CC22" s="31"/>
      <c r="CD22" s="74"/>
      <c r="CE22" s="74"/>
      <c r="CF22" s="31"/>
      <c r="CG22" s="31"/>
      <c r="CH22" s="31"/>
      <c r="CI22" s="31"/>
      <c r="CJ22" s="31"/>
      <c r="CK22" s="74"/>
      <c r="CL22" s="74"/>
      <c r="CM22" s="31"/>
      <c r="CN22" s="31"/>
      <c r="CO22" s="31"/>
      <c r="CP22" s="31"/>
      <c r="CQ22" s="31"/>
      <c r="CR22" s="74"/>
      <c r="CS22" s="74"/>
      <c r="CT22" s="31"/>
      <c r="CU22" s="31"/>
      <c r="CV22" s="31"/>
      <c r="CW22" s="31"/>
      <c r="CX22" s="31"/>
      <c r="CY22" s="74"/>
      <c r="CZ22" s="74"/>
      <c r="DA22" s="31"/>
      <c r="DB22" s="31"/>
      <c r="DC22" s="31"/>
      <c r="DD22" s="31"/>
      <c r="DE22" s="31"/>
      <c r="DF22" s="74"/>
      <c r="DG22" s="74"/>
      <c r="DH22" s="31"/>
      <c r="DI22" s="31"/>
      <c r="DJ22" s="31"/>
      <c r="DK22" s="31"/>
      <c r="DL22" s="31"/>
      <c r="DM22" s="74"/>
      <c r="DN22" s="74"/>
      <c r="DO22" s="31"/>
      <c r="DP22" s="77"/>
      <c r="DQ22" s="31"/>
      <c r="DR22" s="31"/>
      <c r="DS22" s="31"/>
      <c r="DT22" s="74"/>
      <c r="DU22" s="74"/>
      <c r="DV22" s="31"/>
      <c r="DW22" s="31"/>
      <c r="DX22" s="31"/>
      <c r="DY22" s="31"/>
      <c r="DZ22" s="31"/>
      <c r="EA22" s="74"/>
      <c r="EB22" s="74"/>
      <c r="EC22" s="31"/>
      <c r="ED22" s="31"/>
      <c r="EE22" s="31"/>
      <c r="EF22" s="31"/>
      <c r="EG22" s="31"/>
      <c r="EH22" s="74"/>
      <c r="EI22" s="74"/>
      <c r="EJ22" s="31"/>
      <c r="EK22" s="31"/>
      <c r="EL22" s="31"/>
      <c r="EM22" s="31"/>
      <c r="EN22" s="31"/>
      <c r="EO22" s="74"/>
      <c r="EP22" s="74"/>
      <c r="EQ22" s="31"/>
      <c r="ER22" s="31"/>
      <c r="ES22" s="31"/>
      <c r="ET22" s="31"/>
      <c r="EU22" s="31"/>
      <c r="EV22" s="74"/>
      <c r="EW22" s="74"/>
      <c r="EX22" s="31"/>
      <c r="EY22" s="31"/>
      <c r="EZ22" s="31"/>
      <c r="FA22" s="31"/>
      <c r="FB22" s="31"/>
      <c r="FC22" s="74"/>
      <c r="FD22" s="74"/>
      <c r="FE22" s="31"/>
      <c r="FF22" s="31"/>
      <c r="FG22" s="31"/>
      <c r="FH22" s="31"/>
      <c r="FI22" s="31"/>
      <c r="FJ22" s="74"/>
      <c r="FK22" s="74"/>
      <c r="FL22" s="31"/>
      <c r="FM22" s="31"/>
      <c r="FN22" s="31"/>
      <c r="FO22" s="31"/>
      <c r="FP22" s="31"/>
      <c r="FQ22" s="74"/>
      <c r="FR22" s="74"/>
      <c r="FS22" s="31"/>
      <c r="FT22" s="31"/>
      <c r="FU22" s="31"/>
      <c r="FV22" s="31"/>
      <c r="FW22" s="31"/>
      <c r="FX22" s="74"/>
      <c r="FY22" s="74"/>
      <c r="FZ22" s="31"/>
      <c r="GA22" s="31"/>
      <c r="GB22" s="31"/>
      <c r="GC22" s="31"/>
      <c r="GD22" s="31"/>
      <c r="GE22" s="74"/>
      <c r="GF22" s="74"/>
      <c r="GG22" s="31"/>
      <c r="GH22" s="31"/>
      <c r="GI22" s="31"/>
      <c r="GJ22" s="31"/>
      <c r="GK22" s="31"/>
      <c r="GL22" s="74"/>
      <c r="GM22" s="74"/>
      <c r="GN22" s="31"/>
      <c r="GO22" s="31"/>
      <c r="GP22" s="31"/>
      <c r="GQ22" s="31"/>
      <c r="GR22" s="31"/>
      <c r="GS22" s="74"/>
      <c r="GT22" s="74"/>
      <c r="GU22" s="31"/>
      <c r="GV22" s="31"/>
      <c r="GW22" s="31"/>
      <c r="GX22" s="31"/>
      <c r="GY22" s="31"/>
      <c r="GZ22" s="74"/>
      <c r="HA22" s="74"/>
      <c r="HB22" s="31"/>
      <c r="HC22" s="31"/>
      <c r="HD22" s="31"/>
      <c r="HE22" s="31"/>
      <c r="HF22" s="31"/>
      <c r="HG22" s="74"/>
      <c r="HH22" s="74"/>
      <c r="HI22" s="31"/>
      <c r="HJ22" s="31"/>
      <c r="HK22" s="31"/>
      <c r="HL22" s="31"/>
      <c r="HM22" s="31"/>
      <c r="HN22" s="74"/>
      <c r="HO22" s="74"/>
      <c r="HP22" s="31"/>
      <c r="HQ22" s="31"/>
      <c r="HR22" s="31"/>
      <c r="HS22" s="31"/>
      <c r="HT22" s="31"/>
      <c r="HU22" s="74"/>
      <c r="HV22" s="74"/>
      <c r="HW22" s="31"/>
      <c r="HX22" s="31"/>
      <c r="HY22" s="31"/>
      <c r="HZ22" s="31"/>
      <c r="IA22" s="31"/>
      <c r="IB22" s="74"/>
      <c r="IC22" s="74"/>
      <c r="ID22" s="31"/>
      <c r="IE22" s="31"/>
      <c r="IF22" s="31"/>
      <c r="IG22" s="31"/>
      <c r="IH22" s="31"/>
      <c r="II22" s="74"/>
      <c r="IJ22" s="74"/>
      <c r="IK22" s="31"/>
      <c r="IL22" s="31"/>
      <c r="IM22" s="31"/>
      <c r="IN22" s="31"/>
      <c r="IO22" s="31"/>
      <c r="IP22" s="74"/>
      <c r="IQ22" s="74"/>
      <c r="IR22" s="31"/>
      <c r="IS22" s="31"/>
      <c r="IT22" s="31"/>
      <c r="IU22" s="31"/>
      <c r="IV22" s="31"/>
      <c r="IW22" s="74"/>
      <c r="IX22" s="74"/>
      <c r="IY22" s="31"/>
      <c r="IZ22" s="31"/>
      <c r="JA22" s="31"/>
      <c r="JB22" s="31"/>
      <c r="JC22" s="31"/>
      <c r="JD22" s="74"/>
      <c r="JE22" s="74"/>
      <c r="JF22" s="31"/>
      <c r="JG22" s="31"/>
      <c r="JH22" s="31"/>
      <c r="JI22" s="31"/>
      <c r="JJ22" s="31"/>
      <c r="JK22" s="74"/>
      <c r="JL22" s="74"/>
      <c r="JM22" s="31"/>
      <c r="JN22" s="31"/>
      <c r="JO22" s="31"/>
      <c r="JP22" s="31"/>
      <c r="JQ22" s="31"/>
      <c r="JR22" s="74"/>
      <c r="JS22" s="74"/>
      <c r="JT22" s="31"/>
      <c r="JU22" s="31"/>
      <c r="JV22" s="31"/>
      <c r="JW22" s="31"/>
      <c r="JX22" s="31"/>
      <c r="JY22" s="74"/>
      <c r="JZ22" s="74"/>
      <c r="KA22" s="31"/>
      <c r="KB22" s="31"/>
      <c r="KC22" s="31"/>
      <c r="KD22" s="31"/>
      <c r="KE22" s="31"/>
      <c r="KF22" s="74"/>
      <c r="KG22" s="74"/>
      <c r="KH22" s="31"/>
      <c r="KI22" s="31"/>
      <c r="KJ22" s="31"/>
      <c r="KK22" s="31"/>
      <c r="KL22" s="31"/>
      <c r="KM22" s="74"/>
      <c r="KN22" s="74"/>
      <c r="KO22" s="31"/>
      <c r="KP22" s="31"/>
      <c r="KQ22" s="31"/>
      <c r="KR22" s="31"/>
      <c r="KS22" s="31"/>
      <c r="KT22" s="74"/>
      <c r="KU22" s="74"/>
      <c r="KV22" s="31"/>
      <c r="KW22" s="31"/>
      <c r="KX22" s="31"/>
      <c r="KY22" s="31"/>
      <c r="KZ22" s="31"/>
      <c r="LA22" s="74"/>
      <c r="LB22" s="74"/>
      <c r="LC22" s="31"/>
      <c r="LD22" s="31"/>
      <c r="LE22" s="31"/>
      <c r="LF22" s="31"/>
      <c r="LG22" s="31"/>
      <c r="LH22" s="74"/>
      <c r="LI22" s="74"/>
      <c r="LJ22" s="31"/>
      <c r="LK22" s="31"/>
      <c r="LL22" s="31"/>
      <c r="LM22" s="31"/>
      <c r="LN22" s="31"/>
      <c r="LO22" s="74"/>
      <c r="LP22" s="74"/>
      <c r="LQ22" s="31"/>
      <c r="LR22" s="31"/>
      <c r="LS22" s="31"/>
      <c r="LT22" s="31"/>
      <c r="LU22" s="31"/>
      <c r="LV22" s="74"/>
      <c r="LW22" s="74"/>
      <c r="LX22" s="31"/>
      <c r="LY22" s="31"/>
      <c r="LZ22" s="31"/>
      <c r="MA22" s="31"/>
      <c r="MB22" s="31"/>
      <c r="MC22" s="74"/>
      <c r="MD22" s="74"/>
      <c r="ME22" s="31"/>
      <c r="MF22" s="31"/>
      <c r="MG22" s="31"/>
      <c r="MH22" s="31"/>
      <c r="MI22" s="31"/>
      <c r="MJ22" s="74"/>
      <c r="MK22" s="74"/>
      <c r="ML22" s="31"/>
      <c r="MM22" s="31"/>
      <c r="MN22" s="31"/>
      <c r="MO22" s="31"/>
      <c r="MP22" s="31"/>
      <c r="MQ22" s="74"/>
      <c r="MR22" s="74"/>
      <c r="MS22" s="31"/>
      <c r="MT22" s="31"/>
      <c r="MU22" s="31"/>
      <c r="MV22" s="31"/>
      <c r="MW22" s="31"/>
      <c r="MX22" s="74"/>
      <c r="MY22" s="74"/>
      <c r="MZ22" s="31"/>
      <c r="NA22" s="31"/>
      <c r="NB22" s="31"/>
      <c r="NC22" s="31"/>
      <c r="ND22" s="31"/>
      <c r="NE22" s="74"/>
      <c r="NF22" s="74"/>
      <c r="NG22" s="31"/>
      <c r="NH22" s="31"/>
      <c r="NI22" s="31"/>
      <c r="NJ22" s="31"/>
      <c r="NK22" s="31"/>
      <c r="NL22" s="74"/>
      <c r="NM22" s="74"/>
      <c r="NN22" s="31"/>
      <c r="NO22" s="31"/>
      <c r="NP22" s="31"/>
      <c r="NQ22" s="31"/>
      <c r="NR22" s="31"/>
      <c r="NS22" s="74"/>
      <c r="NT22" s="74"/>
    </row>
    <row r="23" spans="2:384" s="29" customFormat="1" ht="9" customHeight="1" outlineLevel="2" x14ac:dyDescent="0.2">
      <c r="B23" s="78">
        <v>1.03</v>
      </c>
      <c r="C23" s="35" t="s">
        <v>61</v>
      </c>
      <c r="D23" s="35"/>
      <c r="E23" s="61"/>
      <c r="F23" s="39"/>
      <c r="G23" s="61"/>
      <c r="H23" s="61"/>
      <c r="I23" s="40"/>
      <c r="J23" s="62"/>
      <c r="K23" s="38"/>
      <c r="L23" s="35"/>
      <c r="N23" s="31"/>
      <c r="O23" s="31"/>
      <c r="P23" s="31"/>
      <c r="Q23" s="31"/>
      <c r="R23" s="31"/>
      <c r="S23" s="74"/>
      <c r="T23" s="74"/>
      <c r="U23" s="31"/>
      <c r="V23" s="31"/>
      <c r="W23" s="31"/>
      <c r="X23" s="31"/>
      <c r="Y23" s="31"/>
      <c r="Z23" s="74"/>
      <c r="AA23" s="74"/>
      <c r="AB23" s="31"/>
      <c r="AC23" s="31"/>
      <c r="AD23" s="31"/>
      <c r="AE23" s="31"/>
      <c r="AF23" s="31"/>
      <c r="AG23" s="74"/>
      <c r="AH23" s="74"/>
      <c r="AI23" s="31"/>
      <c r="AJ23" s="31"/>
      <c r="AK23" s="31"/>
      <c r="AL23" s="31"/>
      <c r="AM23" s="31"/>
      <c r="AN23" s="74"/>
      <c r="AO23" s="74"/>
      <c r="AP23" s="31"/>
      <c r="AQ23" s="31"/>
      <c r="AR23" s="31"/>
      <c r="AS23" s="31"/>
      <c r="AT23" s="31"/>
      <c r="AU23" s="74"/>
      <c r="AV23" s="74"/>
      <c r="AW23" s="31"/>
      <c r="AX23" s="31"/>
      <c r="AY23" s="31"/>
      <c r="AZ23" s="31"/>
      <c r="BA23" s="31"/>
      <c r="BB23" s="74"/>
      <c r="BC23" s="74"/>
      <c r="BD23" s="31"/>
      <c r="BE23" s="31"/>
      <c r="BF23" s="31"/>
      <c r="BG23" s="31"/>
      <c r="BH23" s="31"/>
      <c r="BI23" s="74"/>
      <c r="BJ23" s="74"/>
      <c r="BK23" s="31"/>
      <c r="BL23" s="31"/>
      <c r="BM23" s="31"/>
      <c r="BN23" s="31"/>
      <c r="BO23" s="31"/>
      <c r="BP23" s="74"/>
      <c r="BQ23" s="74"/>
      <c r="BR23" s="31"/>
      <c r="BS23" s="31"/>
      <c r="BT23" s="31"/>
      <c r="BU23" s="31"/>
      <c r="BV23" s="31"/>
      <c r="BW23" s="74"/>
      <c r="BX23" s="74"/>
      <c r="BY23" s="31"/>
      <c r="BZ23" s="31"/>
      <c r="CA23" s="31"/>
      <c r="CB23" s="31"/>
      <c r="CC23" s="31"/>
      <c r="CD23" s="74"/>
      <c r="CE23" s="74"/>
      <c r="CF23" s="31"/>
      <c r="CG23" s="31"/>
      <c r="CH23" s="31"/>
      <c r="CI23" s="31"/>
      <c r="CJ23" s="31"/>
      <c r="CK23" s="74"/>
      <c r="CL23" s="74"/>
      <c r="CM23" s="31"/>
      <c r="CN23" s="31"/>
      <c r="CO23" s="31"/>
      <c r="CP23" s="31"/>
      <c r="CQ23" s="31"/>
      <c r="CR23" s="74"/>
      <c r="CS23" s="74"/>
      <c r="CT23" s="31"/>
      <c r="CU23" s="31"/>
      <c r="CV23" s="31"/>
      <c r="CW23" s="31"/>
      <c r="CX23" s="31"/>
      <c r="CY23" s="74"/>
      <c r="CZ23" s="74"/>
      <c r="DA23" s="31"/>
      <c r="DB23" s="31"/>
      <c r="DC23" s="31"/>
      <c r="DD23" s="31"/>
      <c r="DE23" s="31"/>
      <c r="DF23" s="74"/>
      <c r="DG23" s="74"/>
      <c r="DH23" s="31"/>
      <c r="DI23" s="31"/>
      <c r="DJ23" s="31"/>
      <c r="DK23" s="31"/>
      <c r="DL23" s="31"/>
      <c r="DM23" s="74"/>
      <c r="DN23" s="74"/>
      <c r="DO23" s="31"/>
      <c r="DP23" s="77"/>
      <c r="DQ23" s="31"/>
      <c r="DR23" s="31"/>
      <c r="DS23" s="31"/>
      <c r="DT23" s="74"/>
      <c r="DU23" s="74"/>
      <c r="DV23" s="31"/>
      <c r="DW23" s="31"/>
      <c r="DX23" s="31"/>
      <c r="DY23" s="31"/>
      <c r="DZ23" s="31"/>
      <c r="EA23" s="74"/>
      <c r="EB23" s="74"/>
      <c r="EC23" s="31"/>
      <c r="ED23" s="31"/>
      <c r="EE23" s="31"/>
      <c r="EF23" s="31"/>
      <c r="EG23" s="31"/>
      <c r="EH23" s="74"/>
      <c r="EI23" s="74"/>
      <c r="EJ23" s="31"/>
      <c r="EK23" s="31"/>
      <c r="EL23" s="31"/>
      <c r="EM23" s="31"/>
      <c r="EN23" s="31"/>
      <c r="EO23" s="74"/>
      <c r="EP23" s="74"/>
      <c r="EQ23" s="31"/>
      <c r="ER23" s="31"/>
      <c r="ES23" s="31"/>
      <c r="ET23" s="31"/>
      <c r="EU23" s="31"/>
      <c r="EV23" s="74"/>
      <c r="EW23" s="74"/>
      <c r="EX23" s="31"/>
      <c r="EY23" s="31"/>
      <c r="EZ23" s="31"/>
      <c r="FA23" s="31"/>
      <c r="FB23" s="31"/>
      <c r="FC23" s="74"/>
      <c r="FD23" s="74"/>
      <c r="FE23" s="31"/>
      <c r="FF23" s="31"/>
      <c r="FG23" s="31"/>
      <c r="FH23" s="31"/>
      <c r="FI23" s="31"/>
      <c r="FJ23" s="74"/>
      <c r="FK23" s="74"/>
      <c r="FL23" s="31"/>
      <c r="FM23" s="31"/>
      <c r="FN23" s="31"/>
      <c r="FO23" s="31"/>
      <c r="FP23" s="31"/>
      <c r="FQ23" s="74"/>
      <c r="FR23" s="74"/>
      <c r="FS23" s="31"/>
      <c r="FT23" s="31"/>
      <c r="FU23" s="31"/>
      <c r="FV23" s="31"/>
      <c r="FW23" s="31"/>
      <c r="FX23" s="74"/>
      <c r="FY23" s="74"/>
      <c r="FZ23" s="31"/>
      <c r="GA23" s="31"/>
      <c r="GB23" s="31"/>
      <c r="GC23" s="31"/>
      <c r="GD23" s="31"/>
      <c r="GE23" s="74"/>
      <c r="GF23" s="74"/>
      <c r="GG23" s="31"/>
      <c r="GH23" s="31"/>
      <c r="GI23" s="31"/>
      <c r="GJ23" s="31"/>
      <c r="GK23" s="31"/>
      <c r="GL23" s="74"/>
      <c r="GM23" s="74"/>
      <c r="GN23" s="31"/>
      <c r="GO23" s="31"/>
      <c r="GP23" s="31"/>
      <c r="GQ23" s="31"/>
      <c r="GR23" s="31"/>
      <c r="GS23" s="74"/>
      <c r="GT23" s="74"/>
      <c r="GU23" s="31"/>
      <c r="GV23" s="31"/>
      <c r="GW23" s="31"/>
      <c r="GX23" s="31"/>
      <c r="GY23" s="31"/>
      <c r="GZ23" s="74"/>
      <c r="HA23" s="74"/>
      <c r="HB23" s="31"/>
      <c r="HC23" s="31"/>
      <c r="HD23" s="31"/>
      <c r="HE23" s="31"/>
      <c r="HF23" s="31"/>
      <c r="HG23" s="74"/>
      <c r="HH23" s="74"/>
      <c r="HI23" s="31"/>
      <c r="HJ23" s="31"/>
      <c r="HK23" s="31"/>
      <c r="HL23" s="31"/>
      <c r="HM23" s="31"/>
      <c r="HN23" s="74"/>
      <c r="HO23" s="74"/>
      <c r="HP23" s="31"/>
      <c r="HQ23" s="31"/>
      <c r="HR23" s="31"/>
      <c r="HS23" s="31"/>
      <c r="HT23" s="31"/>
      <c r="HU23" s="74"/>
      <c r="HV23" s="74"/>
      <c r="HW23" s="31"/>
      <c r="HX23" s="31"/>
      <c r="HY23" s="31"/>
      <c r="HZ23" s="31"/>
      <c r="IA23" s="31"/>
      <c r="IB23" s="74"/>
      <c r="IC23" s="74"/>
      <c r="ID23" s="31"/>
      <c r="IE23" s="31"/>
      <c r="IF23" s="31"/>
      <c r="IG23" s="31"/>
      <c r="IH23" s="31"/>
      <c r="II23" s="74"/>
      <c r="IJ23" s="74"/>
      <c r="IK23" s="31"/>
      <c r="IL23" s="31"/>
      <c r="IM23" s="31"/>
      <c r="IN23" s="31"/>
      <c r="IO23" s="31"/>
      <c r="IP23" s="74"/>
      <c r="IQ23" s="74"/>
      <c r="IR23" s="31"/>
      <c r="IS23" s="31"/>
      <c r="IT23" s="31"/>
      <c r="IU23" s="31"/>
      <c r="IV23" s="31"/>
      <c r="IW23" s="74"/>
      <c r="IX23" s="74"/>
      <c r="IY23" s="31"/>
      <c r="IZ23" s="31"/>
      <c r="JA23" s="31"/>
      <c r="JB23" s="31"/>
      <c r="JC23" s="31"/>
      <c r="JD23" s="74"/>
      <c r="JE23" s="74"/>
      <c r="JF23" s="31"/>
      <c r="JG23" s="31"/>
      <c r="JH23" s="31"/>
      <c r="JI23" s="31"/>
      <c r="JJ23" s="31"/>
      <c r="JK23" s="74"/>
      <c r="JL23" s="74"/>
      <c r="JM23" s="31"/>
      <c r="JN23" s="31"/>
      <c r="JO23" s="31"/>
      <c r="JP23" s="31"/>
      <c r="JQ23" s="31"/>
      <c r="JR23" s="74"/>
      <c r="JS23" s="74"/>
      <c r="JT23" s="31"/>
      <c r="JU23" s="31"/>
      <c r="JV23" s="31"/>
      <c r="JW23" s="31"/>
      <c r="JX23" s="31"/>
      <c r="JY23" s="74"/>
      <c r="JZ23" s="74"/>
      <c r="KA23" s="31"/>
      <c r="KB23" s="31"/>
      <c r="KC23" s="31"/>
      <c r="KD23" s="31"/>
      <c r="KE23" s="31"/>
      <c r="KF23" s="74"/>
      <c r="KG23" s="74"/>
      <c r="KH23" s="31"/>
      <c r="KI23" s="31"/>
      <c r="KJ23" s="31"/>
      <c r="KK23" s="31"/>
      <c r="KL23" s="31"/>
      <c r="KM23" s="74"/>
      <c r="KN23" s="74"/>
      <c r="KO23" s="31"/>
      <c r="KP23" s="31"/>
      <c r="KQ23" s="31"/>
      <c r="KR23" s="31"/>
      <c r="KS23" s="31"/>
      <c r="KT23" s="74"/>
      <c r="KU23" s="74"/>
      <c r="KV23" s="31"/>
      <c r="KW23" s="31"/>
      <c r="KX23" s="31"/>
      <c r="KY23" s="31"/>
      <c r="KZ23" s="31"/>
      <c r="LA23" s="74"/>
      <c r="LB23" s="74"/>
      <c r="LC23" s="31"/>
      <c r="LD23" s="31"/>
      <c r="LE23" s="31"/>
      <c r="LF23" s="31"/>
      <c r="LG23" s="31"/>
      <c r="LH23" s="74"/>
      <c r="LI23" s="74"/>
      <c r="LJ23" s="31"/>
      <c r="LK23" s="31"/>
      <c r="LL23" s="31"/>
      <c r="LM23" s="31"/>
      <c r="LN23" s="31"/>
      <c r="LO23" s="74"/>
      <c r="LP23" s="74"/>
      <c r="LQ23" s="31"/>
      <c r="LR23" s="31"/>
      <c r="LS23" s="31"/>
      <c r="LT23" s="31"/>
      <c r="LU23" s="31"/>
      <c r="LV23" s="74"/>
      <c r="LW23" s="74"/>
      <c r="LX23" s="31"/>
      <c r="LY23" s="31"/>
      <c r="LZ23" s="31"/>
      <c r="MA23" s="31"/>
      <c r="MB23" s="31"/>
      <c r="MC23" s="74"/>
      <c r="MD23" s="74"/>
      <c r="ME23" s="31"/>
      <c r="MF23" s="31"/>
      <c r="MG23" s="31"/>
      <c r="MH23" s="31"/>
      <c r="MI23" s="31"/>
      <c r="MJ23" s="74"/>
      <c r="MK23" s="74"/>
      <c r="ML23" s="31"/>
      <c r="MM23" s="31"/>
      <c r="MN23" s="31"/>
      <c r="MO23" s="31"/>
      <c r="MP23" s="31"/>
      <c r="MQ23" s="74"/>
      <c r="MR23" s="74"/>
      <c r="MS23" s="31"/>
      <c r="MT23" s="31"/>
      <c r="MU23" s="31"/>
      <c r="MV23" s="31"/>
      <c r="MW23" s="31"/>
      <c r="MX23" s="74"/>
      <c r="MY23" s="74"/>
      <c r="MZ23" s="31"/>
      <c r="NA23" s="31"/>
      <c r="NB23" s="31"/>
      <c r="NC23" s="31"/>
      <c r="ND23" s="31"/>
      <c r="NE23" s="74"/>
      <c r="NF23" s="74"/>
      <c r="NG23" s="31"/>
      <c r="NH23" s="31"/>
      <c r="NI23" s="31"/>
      <c r="NJ23" s="31"/>
      <c r="NK23" s="31"/>
      <c r="NL23" s="74"/>
      <c r="NM23" s="74"/>
      <c r="NN23" s="31"/>
      <c r="NO23" s="31"/>
      <c r="NP23" s="31"/>
      <c r="NQ23" s="31"/>
      <c r="NR23" s="31"/>
      <c r="NS23" s="74"/>
      <c r="NT23" s="74"/>
    </row>
    <row r="24" spans="2:384" s="29" customFormat="1" ht="9" customHeight="1" outlineLevel="1" x14ac:dyDescent="0.2">
      <c r="B24" s="79">
        <v>2</v>
      </c>
      <c r="C24" s="65" t="s">
        <v>64</v>
      </c>
      <c r="D24" s="65"/>
      <c r="E24" s="75"/>
      <c r="F24" s="39"/>
      <c r="G24" s="75"/>
      <c r="H24" s="75"/>
      <c r="I24" s="40"/>
      <c r="J24" s="76"/>
      <c r="K24" s="38"/>
      <c r="L24" s="35"/>
      <c r="N24" s="31"/>
      <c r="O24" s="31"/>
      <c r="P24" s="31"/>
      <c r="Q24" s="31"/>
      <c r="R24" s="31"/>
      <c r="S24" s="74"/>
      <c r="T24" s="74"/>
      <c r="U24" s="31"/>
      <c r="V24" s="31"/>
      <c r="W24" s="31"/>
      <c r="X24" s="31"/>
      <c r="Y24" s="31"/>
      <c r="Z24" s="74"/>
      <c r="AA24" s="74"/>
      <c r="AB24" s="31"/>
      <c r="AC24" s="31"/>
      <c r="AD24" s="31"/>
      <c r="AE24" s="31"/>
      <c r="AF24" s="31"/>
      <c r="AG24" s="74"/>
      <c r="AH24" s="74"/>
      <c r="AI24" s="31"/>
      <c r="AJ24" s="31"/>
      <c r="AK24" s="31"/>
      <c r="AL24" s="31"/>
      <c r="AM24" s="31"/>
      <c r="AN24" s="74"/>
      <c r="AO24" s="74"/>
      <c r="AP24" s="31"/>
      <c r="AQ24" s="31"/>
      <c r="AR24" s="31"/>
      <c r="AS24" s="31"/>
      <c r="AT24" s="31"/>
      <c r="AU24" s="74"/>
      <c r="AV24" s="74"/>
      <c r="AW24" s="31"/>
      <c r="AX24" s="31"/>
      <c r="AY24" s="31"/>
      <c r="AZ24" s="31"/>
      <c r="BA24" s="31"/>
      <c r="BB24" s="74"/>
      <c r="BC24" s="74"/>
      <c r="BD24" s="31"/>
      <c r="BE24" s="31"/>
      <c r="BF24" s="31"/>
      <c r="BG24" s="31"/>
      <c r="BH24" s="31"/>
      <c r="BI24" s="74"/>
      <c r="BJ24" s="74"/>
      <c r="BK24" s="31"/>
      <c r="BL24" s="31"/>
      <c r="BM24" s="31"/>
      <c r="BN24" s="31"/>
      <c r="BO24" s="31"/>
      <c r="BP24" s="74"/>
      <c r="BQ24" s="74"/>
      <c r="BR24" s="31"/>
      <c r="BS24" s="31"/>
      <c r="BT24" s="31"/>
      <c r="BU24" s="31"/>
      <c r="BV24" s="31"/>
      <c r="BW24" s="74"/>
      <c r="BX24" s="74"/>
      <c r="BY24" s="31"/>
      <c r="BZ24" s="31"/>
      <c r="CA24" s="31"/>
      <c r="CB24" s="31"/>
      <c r="CC24" s="31"/>
      <c r="CD24" s="74"/>
      <c r="CE24" s="74"/>
      <c r="CF24" s="31"/>
      <c r="CG24" s="31"/>
      <c r="CH24" s="31"/>
      <c r="CI24" s="31"/>
      <c r="CJ24" s="31"/>
      <c r="CK24" s="74"/>
      <c r="CL24" s="74"/>
      <c r="CM24" s="31"/>
      <c r="CN24" s="31"/>
      <c r="CO24" s="31"/>
      <c r="CP24" s="31"/>
      <c r="CQ24" s="31"/>
      <c r="CR24" s="74"/>
      <c r="CS24" s="74"/>
      <c r="CT24" s="31"/>
      <c r="CU24" s="31"/>
      <c r="CV24" s="31"/>
      <c r="CW24" s="31"/>
      <c r="CX24" s="31"/>
      <c r="CY24" s="74"/>
      <c r="CZ24" s="74"/>
      <c r="DA24" s="31"/>
      <c r="DB24" s="31"/>
      <c r="DC24" s="31"/>
      <c r="DD24" s="31"/>
      <c r="DE24" s="31"/>
      <c r="DF24" s="74"/>
      <c r="DG24" s="74"/>
      <c r="DH24" s="31"/>
      <c r="DI24" s="31"/>
      <c r="DJ24" s="31"/>
      <c r="DK24" s="31"/>
      <c r="DL24" s="31"/>
      <c r="DM24" s="74"/>
      <c r="DN24" s="74"/>
      <c r="DO24" s="31"/>
      <c r="DP24" s="77"/>
      <c r="DQ24" s="31"/>
      <c r="DR24" s="31"/>
      <c r="DS24" s="31"/>
      <c r="DT24" s="74"/>
      <c r="DU24" s="74"/>
      <c r="DV24" s="31"/>
      <c r="DW24" s="31"/>
      <c r="DX24" s="31"/>
      <c r="DY24" s="31"/>
      <c r="DZ24" s="31"/>
      <c r="EA24" s="74"/>
      <c r="EB24" s="74"/>
      <c r="EC24" s="31"/>
      <c r="ED24" s="31"/>
      <c r="EE24" s="31"/>
      <c r="EF24" s="31"/>
      <c r="EG24" s="31"/>
      <c r="EH24" s="74"/>
      <c r="EI24" s="74"/>
      <c r="EJ24" s="31"/>
      <c r="EK24" s="31"/>
      <c r="EL24" s="31"/>
      <c r="EM24" s="31"/>
      <c r="EN24" s="31"/>
      <c r="EO24" s="74"/>
      <c r="EP24" s="74"/>
      <c r="EQ24" s="31"/>
      <c r="ER24" s="31"/>
      <c r="ES24" s="31"/>
      <c r="ET24" s="31"/>
      <c r="EU24" s="31"/>
      <c r="EV24" s="74"/>
      <c r="EW24" s="74"/>
      <c r="EX24" s="31"/>
      <c r="EY24" s="31"/>
      <c r="EZ24" s="31"/>
      <c r="FA24" s="31"/>
      <c r="FB24" s="31"/>
      <c r="FC24" s="74"/>
      <c r="FD24" s="74"/>
      <c r="FE24" s="31"/>
      <c r="FF24" s="31"/>
      <c r="FG24" s="31"/>
      <c r="FH24" s="31"/>
      <c r="FI24" s="31"/>
      <c r="FJ24" s="74"/>
      <c r="FK24" s="74"/>
      <c r="FL24" s="31"/>
      <c r="FM24" s="31"/>
      <c r="FN24" s="31"/>
      <c r="FO24" s="31"/>
      <c r="FP24" s="31"/>
      <c r="FQ24" s="74"/>
      <c r="FR24" s="74"/>
      <c r="FS24" s="31"/>
      <c r="FT24" s="31"/>
      <c r="FU24" s="31"/>
      <c r="FV24" s="31"/>
      <c r="FW24" s="31"/>
      <c r="FX24" s="74"/>
      <c r="FY24" s="74"/>
      <c r="FZ24" s="31"/>
      <c r="GA24" s="31"/>
      <c r="GB24" s="31"/>
      <c r="GC24" s="31"/>
      <c r="GD24" s="31"/>
      <c r="GE24" s="74"/>
      <c r="GF24" s="74"/>
      <c r="GG24" s="31"/>
      <c r="GH24" s="31"/>
      <c r="GI24" s="31"/>
      <c r="GJ24" s="31"/>
      <c r="GK24" s="31"/>
      <c r="GL24" s="74"/>
      <c r="GM24" s="74"/>
      <c r="GN24" s="31"/>
      <c r="GO24" s="31"/>
      <c r="GP24" s="31"/>
      <c r="GQ24" s="31"/>
      <c r="GR24" s="31"/>
      <c r="GS24" s="74"/>
      <c r="GT24" s="74"/>
      <c r="GU24" s="31"/>
      <c r="GV24" s="31"/>
      <c r="GW24" s="31"/>
      <c r="GX24" s="31"/>
      <c r="GY24" s="31"/>
      <c r="GZ24" s="74"/>
      <c r="HA24" s="74"/>
      <c r="HB24" s="31"/>
      <c r="HC24" s="31"/>
      <c r="HD24" s="31"/>
      <c r="HE24" s="31"/>
      <c r="HF24" s="31"/>
      <c r="HG24" s="74"/>
      <c r="HH24" s="74"/>
      <c r="HI24" s="31"/>
      <c r="HJ24" s="31"/>
      <c r="HK24" s="31"/>
      <c r="HL24" s="31"/>
      <c r="HM24" s="31"/>
      <c r="HN24" s="74"/>
      <c r="HO24" s="74"/>
      <c r="HP24" s="31"/>
      <c r="HQ24" s="31"/>
      <c r="HR24" s="31"/>
      <c r="HS24" s="31"/>
      <c r="HT24" s="31"/>
      <c r="HU24" s="74"/>
      <c r="HV24" s="74"/>
      <c r="HW24" s="31"/>
      <c r="HX24" s="31"/>
      <c r="HY24" s="31"/>
      <c r="HZ24" s="31"/>
      <c r="IA24" s="31"/>
      <c r="IB24" s="74"/>
      <c r="IC24" s="74"/>
      <c r="ID24" s="31"/>
      <c r="IE24" s="31"/>
      <c r="IF24" s="31"/>
      <c r="IG24" s="31"/>
      <c r="IH24" s="31"/>
      <c r="II24" s="74"/>
      <c r="IJ24" s="74"/>
      <c r="IK24" s="31"/>
      <c r="IL24" s="31"/>
      <c r="IM24" s="31"/>
      <c r="IN24" s="31"/>
      <c r="IO24" s="31"/>
      <c r="IP24" s="74"/>
      <c r="IQ24" s="74"/>
      <c r="IR24" s="31"/>
      <c r="IS24" s="31"/>
      <c r="IT24" s="31"/>
      <c r="IU24" s="31"/>
      <c r="IV24" s="31"/>
      <c r="IW24" s="74"/>
      <c r="IX24" s="74"/>
      <c r="IY24" s="31"/>
      <c r="IZ24" s="31"/>
      <c r="JA24" s="31"/>
      <c r="JB24" s="31"/>
      <c r="JC24" s="31"/>
      <c r="JD24" s="74"/>
      <c r="JE24" s="74"/>
      <c r="JF24" s="31"/>
      <c r="JG24" s="31"/>
      <c r="JH24" s="31"/>
      <c r="JI24" s="31"/>
      <c r="JJ24" s="31"/>
      <c r="JK24" s="74"/>
      <c r="JL24" s="74"/>
      <c r="JM24" s="31"/>
      <c r="JN24" s="31"/>
      <c r="JO24" s="31"/>
      <c r="JP24" s="31"/>
      <c r="JQ24" s="31"/>
      <c r="JR24" s="74"/>
      <c r="JS24" s="74"/>
      <c r="JT24" s="31"/>
      <c r="JU24" s="31"/>
      <c r="JV24" s="31"/>
      <c r="JW24" s="31"/>
      <c r="JX24" s="31"/>
      <c r="JY24" s="74"/>
      <c r="JZ24" s="74"/>
      <c r="KA24" s="31"/>
      <c r="KB24" s="31"/>
      <c r="KC24" s="31"/>
      <c r="KD24" s="31"/>
      <c r="KE24" s="31"/>
      <c r="KF24" s="74"/>
      <c r="KG24" s="74"/>
      <c r="KH24" s="31"/>
      <c r="KI24" s="31"/>
      <c r="KJ24" s="31"/>
      <c r="KK24" s="31"/>
      <c r="KL24" s="31"/>
      <c r="KM24" s="74"/>
      <c r="KN24" s="74"/>
      <c r="KO24" s="31"/>
      <c r="KP24" s="31"/>
      <c r="KQ24" s="31"/>
      <c r="KR24" s="31"/>
      <c r="KS24" s="31"/>
      <c r="KT24" s="74"/>
      <c r="KU24" s="74"/>
      <c r="KV24" s="31"/>
      <c r="KW24" s="31"/>
      <c r="KX24" s="31"/>
      <c r="KY24" s="31"/>
      <c r="KZ24" s="31"/>
      <c r="LA24" s="74"/>
      <c r="LB24" s="74"/>
      <c r="LC24" s="31"/>
      <c r="LD24" s="31"/>
      <c r="LE24" s="31"/>
      <c r="LF24" s="31"/>
      <c r="LG24" s="31"/>
      <c r="LH24" s="74"/>
      <c r="LI24" s="74"/>
      <c r="LJ24" s="31"/>
      <c r="LK24" s="31"/>
      <c r="LL24" s="31"/>
      <c r="LM24" s="31"/>
      <c r="LN24" s="31"/>
      <c r="LO24" s="74"/>
      <c r="LP24" s="74"/>
      <c r="LQ24" s="31"/>
      <c r="LR24" s="31"/>
      <c r="LS24" s="31"/>
      <c r="LT24" s="31"/>
      <c r="LU24" s="31"/>
      <c r="LV24" s="74"/>
      <c r="LW24" s="74"/>
      <c r="LX24" s="31"/>
      <c r="LY24" s="31"/>
      <c r="LZ24" s="31"/>
      <c r="MA24" s="31"/>
      <c r="MB24" s="31"/>
      <c r="MC24" s="74"/>
      <c r="MD24" s="74"/>
      <c r="ME24" s="31"/>
      <c r="MF24" s="31"/>
      <c r="MG24" s="31"/>
      <c r="MH24" s="31"/>
      <c r="MI24" s="31"/>
      <c r="MJ24" s="74"/>
      <c r="MK24" s="74"/>
      <c r="ML24" s="31"/>
      <c r="MM24" s="31"/>
      <c r="MN24" s="31"/>
      <c r="MO24" s="31"/>
      <c r="MP24" s="31"/>
      <c r="MQ24" s="74"/>
      <c r="MR24" s="74"/>
      <c r="MS24" s="31"/>
      <c r="MT24" s="31"/>
      <c r="MU24" s="31"/>
      <c r="MV24" s="31"/>
      <c r="MW24" s="31"/>
      <c r="MX24" s="74"/>
      <c r="MY24" s="74"/>
      <c r="MZ24" s="31"/>
      <c r="NA24" s="31"/>
      <c r="NB24" s="31"/>
      <c r="NC24" s="31"/>
      <c r="ND24" s="31"/>
      <c r="NE24" s="74"/>
      <c r="NF24" s="74"/>
      <c r="NG24" s="31"/>
      <c r="NH24" s="31"/>
      <c r="NI24" s="31"/>
      <c r="NJ24" s="31"/>
      <c r="NK24" s="31"/>
      <c r="NL24" s="74"/>
      <c r="NM24" s="74"/>
      <c r="NN24" s="31"/>
      <c r="NO24" s="31"/>
      <c r="NP24" s="31"/>
      <c r="NQ24" s="31"/>
      <c r="NR24" s="31"/>
      <c r="NS24" s="74"/>
      <c r="NT24" s="74"/>
    </row>
    <row r="25" spans="2:384" s="29" customFormat="1" ht="9" customHeight="1" outlineLevel="2" x14ac:dyDescent="0.2">
      <c r="B25" s="78">
        <v>2.0099999999999998</v>
      </c>
      <c r="C25" s="35" t="s">
        <v>65</v>
      </c>
      <c r="D25" s="35"/>
      <c r="E25" s="75"/>
      <c r="F25" s="39"/>
      <c r="G25" s="75"/>
      <c r="H25" s="75"/>
      <c r="I25" s="40"/>
      <c r="J25" s="76"/>
      <c r="K25" s="38"/>
      <c r="L25" s="35"/>
      <c r="N25" s="31"/>
      <c r="O25" s="31"/>
      <c r="P25" s="31"/>
      <c r="Q25" s="31"/>
      <c r="R25" s="31"/>
      <c r="S25" s="74"/>
      <c r="T25" s="74"/>
      <c r="U25" s="31"/>
      <c r="V25" s="31"/>
      <c r="W25" s="31"/>
      <c r="X25" s="31"/>
      <c r="Y25" s="31"/>
      <c r="Z25" s="74"/>
      <c r="AA25" s="74"/>
      <c r="AB25" s="31"/>
      <c r="AC25" s="31"/>
      <c r="AD25" s="31"/>
      <c r="AE25" s="31"/>
      <c r="AF25" s="31"/>
      <c r="AG25" s="74"/>
      <c r="AH25" s="74"/>
      <c r="AI25" s="31"/>
      <c r="AJ25" s="31"/>
      <c r="AK25" s="31"/>
      <c r="AL25" s="31"/>
      <c r="AM25" s="31"/>
      <c r="AN25" s="74"/>
      <c r="AO25" s="74"/>
      <c r="AP25" s="31"/>
      <c r="AQ25" s="31"/>
      <c r="AR25" s="31"/>
      <c r="AS25" s="31"/>
      <c r="AT25" s="31"/>
      <c r="AU25" s="74"/>
      <c r="AV25" s="74"/>
      <c r="AW25" s="31"/>
      <c r="AX25" s="31"/>
      <c r="AY25" s="31"/>
      <c r="AZ25" s="31"/>
      <c r="BA25" s="31"/>
      <c r="BB25" s="74"/>
      <c r="BC25" s="74"/>
      <c r="BD25" s="31"/>
      <c r="BE25" s="31"/>
      <c r="BF25" s="31"/>
      <c r="BG25" s="31"/>
      <c r="BH25" s="31"/>
      <c r="BI25" s="74"/>
      <c r="BJ25" s="74"/>
      <c r="BK25" s="31"/>
      <c r="BL25" s="31"/>
      <c r="BM25" s="31"/>
      <c r="BN25" s="31"/>
      <c r="BO25" s="31"/>
      <c r="BP25" s="74"/>
      <c r="BQ25" s="74"/>
      <c r="BR25" s="31"/>
      <c r="BS25" s="31"/>
      <c r="BT25" s="31"/>
      <c r="BU25" s="31"/>
      <c r="BV25" s="31"/>
      <c r="BW25" s="74"/>
      <c r="BX25" s="74"/>
      <c r="BY25" s="31"/>
      <c r="BZ25" s="31"/>
      <c r="CA25" s="31"/>
      <c r="CB25" s="31"/>
      <c r="CC25" s="31"/>
      <c r="CD25" s="74"/>
      <c r="CE25" s="74"/>
      <c r="CF25" s="31"/>
      <c r="CG25" s="31"/>
      <c r="CH25" s="31"/>
      <c r="CI25" s="31"/>
      <c r="CJ25" s="31"/>
      <c r="CK25" s="74"/>
      <c r="CL25" s="74"/>
      <c r="CM25" s="31"/>
      <c r="CN25" s="31"/>
      <c r="CO25" s="31"/>
      <c r="CP25" s="31"/>
      <c r="CQ25" s="31"/>
      <c r="CR25" s="74"/>
      <c r="CS25" s="74"/>
      <c r="CT25" s="31"/>
      <c r="CU25" s="31"/>
      <c r="CV25" s="31"/>
      <c r="CW25" s="31"/>
      <c r="CX25" s="31"/>
      <c r="CY25" s="74"/>
      <c r="CZ25" s="74"/>
      <c r="DA25" s="31"/>
      <c r="DB25" s="31"/>
      <c r="DC25" s="31"/>
      <c r="DD25" s="31"/>
      <c r="DE25" s="31"/>
      <c r="DF25" s="74"/>
      <c r="DG25" s="74"/>
      <c r="DH25" s="31"/>
      <c r="DI25" s="31"/>
      <c r="DJ25" s="31"/>
      <c r="DK25" s="31"/>
      <c r="DL25" s="31"/>
      <c r="DM25" s="74"/>
      <c r="DN25" s="74"/>
      <c r="DO25" s="31"/>
      <c r="DP25" s="77"/>
      <c r="DQ25" s="31"/>
      <c r="DR25" s="31"/>
      <c r="DS25" s="31"/>
      <c r="DT25" s="74"/>
      <c r="DU25" s="74"/>
      <c r="DV25" s="31"/>
      <c r="DW25" s="31"/>
      <c r="DX25" s="31"/>
      <c r="DY25" s="31"/>
      <c r="DZ25" s="31"/>
      <c r="EA25" s="74"/>
      <c r="EB25" s="74"/>
      <c r="EC25" s="31"/>
      <c r="ED25" s="31"/>
      <c r="EE25" s="31"/>
      <c r="EF25" s="31"/>
      <c r="EG25" s="31"/>
      <c r="EH25" s="74"/>
      <c r="EI25" s="74"/>
      <c r="EJ25" s="31"/>
      <c r="EK25" s="31"/>
      <c r="EL25" s="31"/>
      <c r="EM25" s="31"/>
      <c r="EN25" s="31"/>
      <c r="EO25" s="74"/>
      <c r="EP25" s="74"/>
      <c r="EQ25" s="31"/>
      <c r="ER25" s="31"/>
      <c r="ES25" s="31"/>
      <c r="ET25" s="31"/>
      <c r="EU25" s="31"/>
      <c r="EV25" s="74"/>
      <c r="EW25" s="74"/>
      <c r="EX25" s="31"/>
      <c r="EY25" s="31"/>
      <c r="EZ25" s="31"/>
      <c r="FA25" s="31"/>
      <c r="FB25" s="31"/>
      <c r="FC25" s="74"/>
      <c r="FD25" s="74"/>
      <c r="FE25" s="31"/>
      <c r="FF25" s="31"/>
      <c r="FG25" s="31"/>
      <c r="FH25" s="31"/>
      <c r="FI25" s="31"/>
      <c r="FJ25" s="74"/>
      <c r="FK25" s="74"/>
      <c r="FL25" s="31"/>
      <c r="FM25" s="31"/>
      <c r="FN25" s="31"/>
      <c r="FO25" s="31"/>
      <c r="FP25" s="31"/>
      <c r="FQ25" s="74"/>
      <c r="FR25" s="74"/>
      <c r="FS25" s="31"/>
      <c r="FT25" s="31"/>
      <c r="FU25" s="31"/>
      <c r="FV25" s="31"/>
      <c r="FW25" s="31"/>
      <c r="FX25" s="74"/>
      <c r="FY25" s="74"/>
      <c r="FZ25" s="31"/>
      <c r="GA25" s="31"/>
      <c r="GB25" s="31"/>
      <c r="GC25" s="31"/>
      <c r="GD25" s="31"/>
      <c r="GE25" s="74"/>
      <c r="GF25" s="74"/>
      <c r="GG25" s="31"/>
      <c r="GH25" s="31"/>
      <c r="GI25" s="31"/>
      <c r="GJ25" s="31"/>
      <c r="GK25" s="31"/>
      <c r="GL25" s="74"/>
      <c r="GM25" s="74"/>
      <c r="GN25" s="31"/>
      <c r="GO25" s="31"/>
      <c r="GP25" s="31"/>
      <c r="GQ25" s="31"/>
      <c r="GR25" s="31"/>
      <c r="GS25" s="74"/>
      <c r="GT25" s="74"/>
      <c r="GU25" s="31"/>
      <c r="GV25" s="31"/>
      <c r="GW25" s="31"/>
      <c r="GX25" s="31"/>
      <c r="GY25" s="31"/>
      <c r="GZ25" s="74"/>
      <c r="HA25" s="74"/>
      <c r="HB25" s="31"/>
      <c r="HC25" s="31"/>
      <c r="HD25" s="31"/>
      <c r="HE25" s="31"/>
      <c r="HF25" s="31"/>
      <c r="HG25" s="74"/>
      <c r="HH25" s="74"/>
      <c r="HI25" s="31"/>
      <c r="HJ25" s="31"/>
      <c r="HK25" s="31"/>
      <c r="HL25" s="31"/>
      <c r="HM25" s="31"/>
      <c r="HN25" s="74"/>
      <c r="HO25" s="74"/>
      <c r="HP25" s="31"/>
      <c r="HQ25" s="31"/>
      <c r="HR25" s="31"/>
      <c r="HS25" s="31"/>
      <c r="HT25" s="31"/>
      <c r="HU25" s="74"/>
      <c r="HV25" s="74"/>
      <c r="HW25" s="31"/>
      <c r="HX25" s="31"/>
      <c r="HY25" s="31"/>
      <c r="HZ25" s="31"/>
      <c r="IA25" s="31"/>
      <c r="IB25" s="74"/>
      <c r="IC25" s="74"/>
      <c r="ID25" s="31"/>
      <c r="IE25" s="31"/>
      <c r="IF25" s="31"/>
      <c r="IG25" s="31"/>
      <c r="IH25" s="31"/>
      <c r="II25" s="74"/>
      <c r="IJ25" s="74"/>
      <c r="IK25" s="31"/>
      <c r="IL25" s="31"/>
      <c r="IM25" s="31"/>
      <c r="IN25" s="31"/>
      <c r="IO25" s="31"/>
      <c r="IP25" s="74"/>
      <c r="IQ25" s="74"/>
      <c r="IR25" s="31"/>
      <c r="IS25" s="31"/>
      <c r="IT25" s="31"/>
      <c r="IU25" s="31"/>
      <c r="IV25" s="31"/>
      <c r="IW25" s="74"/>
      <c r="IX25" s="74"/>
      <c r="IY25" s="31"/>
      <c r="IZ25" s="31"/>
      <c r="JA25" s="31"/>
      <c r="JB25" s="31"/>
      <c r="JC25" s="31"/>
      <c r="JD25" s="74"/>
      <c r="JE25" s="74"/>
      <c r="JF25" s="31"/>
      <c r="JG25" s="31"/>
      <c r="JH25" s="31"/>
      <c r="JI25" s="31"/>
      <c r="JJ25" s="31"/>
      <c r="JK25" s="74"/>
      <c r="JL25" s="74"/>
      <c r="JM25" s="31"/>
      <c r="JN25" s="31"/>
      <c r="JO25" s="31"/>
      <c r="JP25" s="31"/>
      <c r="JQ25" s="31"/>
      <c r="JR25" s="74"/>
      <c r="JS25" s="74"/>
      <c r="JT25" s="31"/>
      <c r="JU25" s="31"/>
      <c r="JV25" s="31"/>
      <c r="JW25" s="31"/>
      <c r="JX25" s="31"/>
      <c r="JY25" s="74"/>
      <c r="JZ25" s="74"/>
      <c r="KA25" s="31"/>
      <c r="KB25" s="31"/>
      <c r="KC25" s="31"/>
      <c r="KD25" s="31"/>
      <c r="KE25" s="31"/>
      <c r="KF25" s="74"/>
      <c r="KG25" s="74"/>
      <c r="KH25" s="31"/>
      <c r="KI25" s="31"/>
      <c r="KJ25" s="31"/>
      <c r="KK25" s="31"/>
      <c r="KL25" s="31"/>
      <c r="KM25" s="74"/>
      <c r="KN25" s="74"/>
      <c r="KO25" s="31"/>
      <c r="KP25" s="31"/>
      <c r="KQ25" s="31"/>
      <c r="KR25" s="31"/>
      <c r="KS25" s="31"/>
      <c r="KT25" s="74"/>
      <c r="KU25" s="74"/>
      <c r="KV25" s="31"/>
      <c r="KW25" s="31"/>
      <c r="KX25" s="31"/>
      <c r="KY25" s="31"/>
      <c r="KZ25" s="31"/>
      <c r="LA25" s="74"/>
      <c r="LB25" s="74"/>
      <c r="LC25" s="31"/>
      <c r="LD25" s="31"/>
      <c r="LE25" s="31"/>
      <c r="LF25" s="31"/>
      <c r="LG25" s="31"/>
      <c r="LH25" s="74"/>
      <c r="LI25" s="74"/>
      <c r="LJ25" s="31"/>
      <c r="LK25" s="31"/>
      <c r="LL25" s="31"/>
      <c r="LM25" s="31"/>
      <c r="LN25" s="31"/>
      <c r="LO25" s="74"/>
      <c r="LP25" s="74"/>
      <c r="LQ25" s="31"/>
      <c r="LR25" s="31"/>
      <c r="LS25" s="31"/>
      <c r="LT25" s="31"/>
      <c r="LU25" s="31"/>
      <c r="LV25" s="74"/>
      <c r="LW25" s="74"/>
      <c r="LX25" s="31"/>
      <c r="LY25" s="31"/>
      <c r="LZ25" s="31"/>
      <c r="MA25" s="31"/>
      <c r="MB25" s="31"/>
      <c r="MC25" s="74"/>
      <c r="MD25" s="74"/>
      <c r="ME25" s="31"/>
      <c r="MF25" s="31"/>
      <c r="MG25" s="31"/>
      <c r="MH25" s="31"/>
      <c r="MI25" s="31"/>
      <c r="MJ25" s="74"/>
      <c r="MK25" s="74"/>
      <c r="ML25" s="31"/>
      <c r="MM25" s="31"/>
      <c r="MN25" s="31"/>
      <c r="MO25" s="31"/>
      <c r="MP25" s="31"/>
      <c r="MQ25" s="74"/>
      <c r="MR25" s="74"/>
      <c r="MS25" s="31"/>
      <c r="MT25" s="31"/>
      <c r="MU25" s="31"/>
      <c r="MV25" s="31"/>
      <c r="MW25" s="31"/>
      <c r="MX25" s="74"/>
      <c r="MY25" s="74"/>
      <c r="MZ25" s="31"/>
      <c r="NA25" s="31"/>
      <c r="NB25" s="31"/>
      <c r="NC25" s="31"/>
      <c r="ND25" s="31"/>
      <c r="NE25" s="74"/>
      <c r="NF25" s="74"/>
      <c r="NG25" s="31"/>
      <c r="NH25" s="31"/>
      <c r="NI25" s="31"/>
      <c r="NJ25" s="31"/>
      <c r="NK25" s="31"/>
      <c r="NL25" s="74"/>
      <c r="NM25" s="74"/>
      <c r="NN25" s="31"/>
      <c r="NO25" s="31"/>
      <c r="NP25" s="31"/>
      <c r="NQ25" s="31"/>
      <c r="NR25" s="31"/>
      <c r="NS25" s="74"/>
      <c r="NT25" s="74"/>
    </row>
    <row r="26" spans="2:384" s="29" customFormat="1" ht="9" customHeight="1" outlineLevel="2" x14ac:dyDescent="0.2">
      <c r="B26" s="78">
        <v>2.0199999999999996</v>
      </c>
      <c r="C26" s="35" t="s">
        <v>66</v>
      </c>
      <c r="D26" s="35" t="s">
        <v>50</v>
      </c>
      <c r="E26" s="75"/>
      <c r="F26" s="39"/>
      <c r="G26" s="75"/>
      <c r="H26" s="75"/>
      <c r="I26" s="40"/>
      <c r="J26" s="76"/>
      <c r="K26" s="38"/>
      <c r="L26" s="35"/>
      <c r="N26" s="31"/>
      <c r="O26" s="31"/>
      <c r="P26" s="31"/>
      <c r="Q26" s="31"/>
      <c r="R26" s="31"/>
      <c r="S26" s="74"/>
      <c r="T26" s="74"/>
      <c r="U26" s="31"/>
      <c r="V26" s="31"/>
      <c r="W26" s="31"/>
      <c r="X26" s="31"/>
      <c r="Y26" s="31"/>
      <c r="Z26" s="74"/>
      <c r="AA26" s="74"/>
      <c r="AB26" s="31"/>
      <c r="AC26" s="31"/>
      <c r="AD26" s="31"/>
      <c r="AE26" s="31"/>
      <c r="AF26" s="31"/>
      <c r="AG26" s="74"/>
      <c r="AH26" s="74"/>
      <c r="AI26" s="31"/>
      <c r="AJ26" s="31"/>
      <c r="AK26" s="31"/>
      <c r="AL26" s="31"/>
      <c r="AM26" s="31"/>
      <c r="AN26" s="74"/>
      <c r="AO26" s="74"/>
      <c r="AP26" s="31"/>
      <c r="AQ26" s="31"/>
      <c r="AR26" s="31"/>
      <c r="AS26" s="31"/>
      <c r="AT26" s="31"/>
      <c r="AU26" s="74"/>
      <c r="AV26" s="74"/>
      <c r="AW26" s="31"/>
      <c r="AX26" s="31"/>
      <c r="AY26" s="31"/>
      <c r="AZ26" s="31"/>
      <c r="BA26" s="31"/>
      <c r="BB26" s="74"/>
      <c r="BC26" s="74"/>
      <c r="BD26" s="31"/>
      <c r="BE26" s="31"/>
      <c r="BF26" s="31"/>
      <c r="BG26" s="31"/>
      <c r="BH26" s="31"/>
      <c r="BI26" s="74"/>
      <c r="BJ26" s="74"/>
      <c r="BK26" s="31"/>
      <c r="BL26" s="31"/>
      <c r="BM26" s="31"/>
      <c r="BN26" s="31"/>
      <c r="BO26" s="31"/>
      <c r="BP26" s="74"/>
      <c r="BQ26" s="74"/>
      <c r="BR26" s="31"/>
      <c r="BS26" s="31"/>
      <c r="BT26" s="31"/>
      <c r="BU26" s="31"/>
      <c r="BV26" s="31"/>
      <c r="BW26" s="74"/>
      <c r="BX26" s="74"/>
      <c r="BY26" s="31"/>
      <c r="BZ26" s="31"/>
      <c r="CA26" s="31"/>
      <c r="CB26" s="31"/>
      <c r="CC26" s="31"/>
      <c r="CD26" s="74"/>
      <c r="CE26" s="74"/>
      <c r="CF26" s="31"/>
      <c r="CG26" s="31"/>
      <c r="CH26" s="31"/>
      <c r="CI26" s="31"/>
      <c r="CJ26" s="31"/>
      <c r="CK26" s="74"/>
      <c r="CL26" s="74"/>
      <c r="CM26" s="31"/>
      <c r="CN26" s="31"/>
      <c r="CO26" s="31"/>
      <c r="CP26" s="31"/>
      <c r="CQ26" s="31"/>
      <c r="CR26" s="74"/>
      <c r="CS26" s="74"/>
      <c r="CT26" s="31"/>
      <c r="CU26" s="31"/>
      <c r="CV26" s="31"/>
      <c r="CW26" s="31"/>
      <c r="CX26" s="31"/>
      <c r="CY26" s="74"/>
      <c r="CZ26" s="74"/>
      <c r="DA26" s="31"/>
      <c r="DB26" s="31"/>
      <c r="DC26" s="31"/>
      <c r="DD26" s="31"/>
      <c r="DE26" s="31"/>
      <c r="DF26" s="74"/>
      <c r="DG26" s="74"/>
      <c r="DH26" s="31"/>
      <c r="DI26" s="31"/>
      <c r="DJ26" s="31"/>
      <c r="DK26" s="31"/>
      <c r="DL26" s="31"/>
      <c r="DM26" s="74"/>
      <c r="DN26" s="74"/>
      <c r="DO26" s="31"/>
      <c r="DP26" s="77"/>
      <c r="DQ26" s="31"/>
      <c r="DR26" s="31"/>
      <c r="DS26" s="31"/>
      <c r="DT26" s="74"/>
      <c r="DU26" s="74"/>
      <c r="DV26" s="31"/>
      <c r="DW26" s="31"/>
      <c r="DX26" s="31"/>
      <c r="DY26" s="31"/>
      <c r="DZ26" s="31"/>
      <c r="EA26" s="74"/>
      <c r="EB26" s="74"/>
      <c r="EC26" s="31"/>
      <c r="ED26" s="31"/>
      <c r="EE26" s="31"/>
      <c r="EF26" s="31"/>
      <c r="EG26" s="31"/>
      <c r="EH26" s="74"/>
      <c r="EI26" s="74"/>
      <c r="EJ26" s="31"/>
      <c r="EK26" s="31"/>
      <c r="EL26" s="31"/>
      <c r="EM26" s="31"/>
      <c r="EN26" s="31"/>
      <c r="EO26" s="74"/>
      <c r="EP26" s="74"/>
      <c r="EQ26" s="31"/>
      <c r="ER26" s="31"/>
      <c r="ES26" s="31"/>
      <c r="ET26" s="31"/>
      <c r="EU26" s="31"/>
      <c r="EV26" s="74"/>
      <c r="EW26" s="74"/>
      <c r="EX26" s="31"/>
      <c r="EY26" s="31"/>
      <c r="EZ26" s="31"/>
      <c r="FA26" s="31"/>
      <c r="FB26" s="31"/>
      <c r="FC26" s="74"/>
      <c r="FD26" s="74"/>
      <c r="FE26" s="31"/>
      <c r="FF26" s="31"/>
      <c r="FG26" s="31"/>
      <c r="FH26" s="31"/>
      <c r="FI26" s="31"/>
      <c r="FJ26" s="74"/>
      <c r="FK26" s="74"/>
      <c r="FL26" s="31"/>
      <c r="FM26" s="31"/>
      <c r="FN26" s="31"/>
      <c r="FO26" s="31"/>
      <c r="FP26" s="31"/>
      <c r="FQ26" s="74"/>
      <c r="FR26" s="74"/>
      <c r="FS26" s="31"/>
      <c r="FT26" s="31"/>
      <c r="FU26" s="31"/>
      <c r="FV26" s="31"/>
      <c r="FW26" s="31"/>
      <c r="FX26" s="74"/>
      <c r="FY26" s="74"/>
      <c r="FZ26" s="31"/>
      <c r="GA26" s="31"/>
      <c r="GB26" s="31"/>
      <c r="GC26" s="31"/>
      <c r="GD26" s="31"/>
      <c r="GE26" s="74"/>
      <c r="GF26" s="74"/>
      <c r="GG26" s="31"/>
      <c r="GH26" s="31"/>
      <c r="GI26" s="31"/>
      <c r="GJ26" s="31"/>
      <c r="GK26" s="31"/>
      <c r="GL26" s="74"/>
      <c r="GM26" s="74"/>
      <c r="GN26" s="31"/>
      <c r="GO26" s="31"/>
      <c r="GP26" s="31"/>
      <c r="GQ26" s="31"/>
      <c r="GR26" s="31"/>
      <c r="GS26" s="74"/>
      <c r="GT26" s="74"/>
      <c r="GU26" s="31"/>
      <c r="GV26" s="31"/>
      <c r="GW26" s="31"/>
      <c r="GX26" s="31"/>
      <c r="GY26" s="31"/>
      <c r="GZ26" s="74"/>
      <c r="HA26" s="74"/>
      <c r="HB26" s="31"/>
      <c r="HC26" s="31"/>
      <c r="HD26" s="31"/>
      <c r="HE26" s="31"/>
      <c r="HF26" s="31"/>
      <c r="HG26" s="74"/>
      <c r="HH26" s="74"/>
      <c r="HI26" s="31"/>
      <c r="HJ26" s="31"/>
      <c r="HK26" s="31"/>
      <c r="HL26" s="31"/>
      <c r="HM26" s="31"/>
      <c r="HN26" s="74"/>
      <c r="HO26" s="74"/>
      <c r="HP26" s="31"/>
      <c r="HQ26" s="31"/>
      <c r="HR26" s="31"/>
      <c r="HS26" s="31"/>
      <c r="HT26" s="31"/>
      <c r="HU26" s="74"/>
      <c r="HV26" s="74"/>
      <c r="HW26" s="31"/>
      <c r="HX26" s="31"/>
      <c r="HY26" s="31"/>
      <c r="HZ26" s="31"/>
      <c r="IA26" s="31"/>
      <c r="IB26" s="74"/>
      <c r="IC26" s="74"/>
      <c r="ID26" s="31"/>
      <c r="IE26" s="31"/>
      <c r="IF26" s="31"/>
      <c r="IG26" s="31"/>
      <c r="IH26" s="31"/>
      <c r="II26" s="74"/>
      <c r="IJ26" s="74"/>
      <c r="IK26" s="31"/>
      <c r="IL26" s="31"/>
      <c r="IM26" s="31"/>
      <c r="IN26" s="31"/>
      <c r="IO26" s="31"/>
      <c r="IP26" s="74"/>
      <c r="IQ26" s="74"/>
      <c r="IR26" s="31"/>
      <c r="IS26" s="31"/>
      <c r="IT26" s="31"/>
      <c r="IU26" s="31"/>
      <c r="IV26" s="31"/>
      <c r="IW26" s="74"/>
      <c r="IX26" s="74"/>
      <c r="IY26" s="31"/>
      <c r="IZ26" s="31"/>
      <c r="JA26" s="31"/>
      <c r="JB26" s="31"/>
      <c r="JC26" s="31"/>
      <c r="JD26" s="74"/>
      <c r="JE26" s="74"/>
      <c r="JF26" s="31"/>
      <c r="JG26" s="31"/>
      <c r="JH26" s="31"/>
      <c r="JI26" s="31"/>
      <c r="JJ26" s="31"/>
      <c r="JK26" s="74"/>
      <c r="JL26" s="74"/>
      <c r="JM26" s="31"/>
      <c r="JN26" s="31"/>
      <c r="JO26" s="31"/>
      <c r="JP26" s="31"/>
      <c r="JQ26" s="31"/>
      <c r="JR26" s="74"/>
      <c r="JS26" s="74"/>
      <c r="JT26" s="31"/>
      <c r="JU26" s="31"/>
      <c r="JV26" s="31"/>
      <c r="JW26" s="31"/>
      <c r="JX26" s="31"/>
      <c r="JY26" s="74"/>
      <c r="JZ26" s="74"/>
      <c r="KA26" s="31"/>
      <c r="KB26" s="31"/>
      <c r="KC26" s="31"/>
      <c r="KD26" s="31"/>
      <c r="KE26" s="31"/>
      <c r="KF26" s="74"/>
      <c r="KG26" s="74"/>
      <c r="KH26" s="31"/>
      <c r="KI26" s="31"/>
      <c r="KJ26" s="31"/>
      <c r="KK26" s="31"/>
      <c r="KL26" s="31"/>
      <c r="KM26" s="74"/>
      <c r="KN26" s="74"/>
      <c r="KO26" s="31"/>
      <c r="KP26" s="31"/>
      <c r="KQ26" s="31"/>
      <c r="KR26" s="31"/>
      <c r="KS26" s="31"/>
      <c r="KT26" s="74"/>
      <c r="KU26" s="74"/>
      <c r="KV26" s="31"/>
      <c r="KW26" s="31"/>
      <c r="KX26" s="31"/>
      <c r="KY26" s="31"/>
      <c r="KZ26" s="31"/>
      <c r="LA26" s="74"/>
      <c r="LB26" s="74"/>
      <c r="LC26" s="31"/>
      <c r="LD26" s="31"/>
      <c r="LE26" s="31"/>
      <c r="LF26" s="31"/>
      <c r="LG26" s="31"/>
      <c r="LH26" s="74"/>
      <c r="LI26" s="74"/>
      <c r="LJ26" s="31"/>
      <c r="LK26" s="31"/>
      <c r="LL26" s="31"/>
      <c r="LM26" s="31"/>
      <c r="LN26" s="31"/>
      <c r="LO26" s="74"/>
      <c r="LP26" s="74"/>
      <c r="LQ26" s="31"/>
      <c r="LR26" s="31"/>
      <c r="LS26" s="31"/>
      <c r="LT26" s="31"/>
      <c r="LU26" s="31"/>
      <c r="LV26" s="74"/>
      <c r="LW26" s="74"/>
      <c r="LX26" s="31"/>
      <c r="LY26" s="31"/>
      <c r="LZ26" s="31"/>
      <c r="MA26" s="31"/>
      <c r="MB26" s="31"/>
      <c r="MC26" s="74"/>
      <c r="MD26" s="74"/>
      <c r="ME26" s="31"/>
      <c r="MF26" s="31"/>
      <c r="MG26" s="31"/>
      <c r="MH26" s="31"/>
      <c r="MI26" s="31"/>
      <c r="MJ26" s="74"/>
      <c r="MK26" s="74"/>
      <c r="ML26" s="31"/>
      <c r="MM26" s="31"/>
      <c r="MN26" s="31"/>
      <c r="MO26" s="31"/>
      <c r="MP26" s="31"/>
      <c r="MQ26" s="74"/>
      <c r="MR26" s="74"/>
      <c r="MS26" s="31"/>
      <c r="MT26" s="31"/>
      <c r="MU26" s="31"/>
      <c r="MV26" s="31"/>
      <c r="MW26" s="31"/>
      <c r="MX26" s="74"/>
      <c r="MY26" s="74"/>
      <c r="MZ26" s="31"/>
      <c r="NA26" s="31"/>
      <c r="NB26" s="31"/>
      <c r="NC26" s="31"/>
      <c r="ND26" s="31"/>
      <c r="NE26" s="74"/>
      <c r="NF26" s="74"/>
      <c r="NG26" s="31"/>
      <c r="NH26" s="31"/>
      <c r="NI26" s="31"/>
      <c r="NJ26" s="31"/>
      <c r="NK26" s="31"/>
      <c r="NL26" s="74"/>
      <c r="NM26" s="74"/>
      <c r="NN26" s="31"/>
      <c r="NO26" s="31"/>
      <c r="NP26" s="31"/>
      <c r="NQ26" s="31"/>
      <c r="NR26" s="31"/>
      <c r="NS26" s="74"/>
      <c r="NT26" s="74"/>
    </row>
    <row r="27" spans="2:384" s="29" customFormat="1" ht="9" customHeight="1" outlineLevel="2" x14ac:dyDescent="0.2">
      <c r="B27" s="78">
        <v>2.0299999999999994</v>
      </c>
      <c r="C27" s="35" t="s">
        <v>67</v>
      </c>
      <c r="D27" s="35"/>
      <c r="E27" s="75"/>
      <c r="F27" s="39"/>
      <c r="G27" s="75"/>
      <c r="H27" s="75"/>
      <c r="I27" s="40"/>
      <c r="J27" s="75"/>
      <c r="K27" s="35"/>
      <c r="L27" s="35"/>
      <c r="N27" s="31"/>
      <c r="O27" s="31"/>
      <c r="P27" s="31"/>
      <c r="Q27" s="31"/>
      <c r="R27" s="31"/>
      <c r="S27" s="74"/>
      <c r="T27" s="74"/>
      <c r="U27" s="31"/>
      <c r="V27" s="31"/>
      <c r="W27" s="31"/>
      <c r="X27" s="31"/>
      <c r="Y27" s="31"/>
      <c r="Z27" s="74"/>
      <c r="AA27" s="74"/>
      <c r="AB27" s="31"/>
      <c r="AC27" s="31"/>
      <c r="AD27" s="31"/>
      <c r="AE27" s="31"/>
      <c r="AF27" s="31"/>
      <c r="AG27" s="74"/>
      <c r="AH27" s="74"/>
      <c r="AI27" s="31"/>
      <c r="AJ27" s="31"/>
      <c r="AK27" s="31"/>
      <c r="AL27" s="31"/>
      <c r="AM27" s="31"/>
      <c r="AN27" s="74"/>
      <c r="AO27" s="74"/>
      <c r="AP27" s="31"/>
      <c r="AQ27" s="31"/>
      <c r="AR27" s="31"/>
      <c r="AS27" s="31"/>
      <c r="AT27" s="31"/>
      <c r="AU27" s="74"/>
      <c r="AV27" s="74"/>
      <c r="AW27" s="31"/>
      <c r="AX27" s="31"/>
      <c r="AY27" s="31"/>
      <c r="AZ27" s="31"/>
      <c r="BA27" s="31"/>
      <c r="BB27" s="74"/>
      <c r="BC27" s="74"/>
      <c r="BD27" s="31"/>
      <c r="BE27" s="31"/>
      <c r="BF27" s="31"/>
      <c r="BG27" s="31"/>
      <c r="BH27" s="31"/>
      <c r="BI27" s="74"/>
      <c r="BJ27" s="74"/>
      <c r="BK27" s="31"/>
      <c r="BL27" s="31"/>
      <c r="BM27" s="31"/>
      <c r="BN27" s="31"/>
      <c r="BO27" s="31"/>
      <c r="BP27" s="74"/>
      <c r="BQ27" s="74"/>
      <c r="BR27" s="31"/>
      <c r="BS27" s="31"/>
      <c r="BT27" s="31"/>
      <c r="BU27" s="31"/>
      <c r="BV27" s="31"/>
      <c r="BW27" s="74"/>
      <c r="BX27" s="74"/>
      <c r="BY27" s="31"/>
      <c r="BZ27" s="31"/>
      <c r="CA27" s="31"/>
      <c r="CB27" s="31"/>
      <c r="CC27" s="31"/>
      <c r="CD27" s="74"/>
      <c r="CE27" s="74"/>
      <c r="CF27" s="31"/>
      <c r="CG27" s="31"/>
      <c r="CH27" s="31"/>
      <c r="CI27" s="31"/>
      <c r="CJ27" s="31"/>
      <c r="CK27" s="74"/>
      <c r="CL27" s="74"/>
      <c r="CM27" s="31"/>
      <c r="CN27" s="31"/>
      <c r="CO27" s="31"/>
      <c r="CP27" s="31"/>
      <c r="CQ27" s="31"/>
      <c r="CR27" s="74"/>
      <c r="CS27" s="74"/>
      <c r="CT27" s="31"/>
      <c r="CU27" s="31"/>
      <c r="CV27" s="31"/>
      <c r="CW27" s="31"/>
      <c r="CX27" s="31"/>
      <c r="CY27" s="74"/>
      <c r="CZ27" s="74"/>
      <c r="DA27" s="31"/>
      <c r="DB27" s="31"/>
      <c r="DC27" s="31"/>
      <c r="DD27" s="31"/>
      <c r="DE27" s="31"/>
      <c r="DF27" s="74"/>
      <c r="DG27" s="74"/>
      <c r="DH27" s="31"/>
      <c r="DI27" s="31"/>
      <c r="DJ27" s="31"/>
      <c r="DK27" s="31"/>
      <c r="DL27" s="31"/>
      <c r="DM27" s="74"/>
      <c r="DN27" s="74"/>
      <c r="DO27" s="31"/>
      <c r="DP27" s="77"/>
      <c r="DQ27" s="31"/>
      <c r="DR27" s="31"/>
      <c r="DS27" s="31"/>
      <c r="DT27" s="74"/>
      <c r="DU27" s="74"/>
      <c r="DV27" s="31"/>
      <c r="DW27" s="31"/>
      <c r="DX27" s="31"/>
      <c r="DY27" s="31"/>
      <c r="DZ27" s="31"/>
      <c r="EA27" s="74"/>
      <c r="EB27" s="74"/>
      <c r="EC27" s="31"/>
      <c r="ED27" s="31"/>
      <c r="EE27" s="31"/>
      <c r="EF27" s="31"/>
      <c r="EG27" s="31"/>
      <c r="EH27" s="74"/>
      <c r="EI27" s="74"/>
      <c r="EJ27" s="31"/>
      <c r="EK27" s="31"/>
      <c r="EL27" s="31"/>
      <c r="EM27" s="31"/>
      <c r="EN27" s="31"/>
      <c r="EO27" s="74"/>
      <c r="EP27" s="74"/>
      <c r="EQ27" s="31"/>
      <c r="ER27" s="31"/>
      <c r="ES27" s="31"/>
      <c r="ET27" s="31"/>
      <c r="EU27" s="31"/>
      <c r="EV27" s="74"/>
      <c r="EW27" s="74"/>
      <c r="EX27" s="31"/>
      <c r="EY27" s="31"/>
      <c r="EZ27" s="31"/>
      <c r="FA27" s="31"/>
      <c r="FB27" s="31"/>
      <c r="FC27" s="74"/>
      <c r="FD27" s="74"/>
      <c r="FE27" s="31"/>
      <c r="FF27" s="31"/>
      <c r="FG27" s="31"/>
      <c r="FH27" s="31"/>
      <c r="FI27" s="31"/>
      <c r="FJ27" s="74"/>
      <c r="FK27" s="74"/>
      <c r="FL27" s="31"/>
      <c r="FM27" s="31"/>
      <c r="FN27" s="31"/>
      <c r="FO27" s="31"/>
      <c r="FP27" s="31"/>
      <c r="FQ27" s="74"/>
      <c r="FR27" s="74"/>
      <c r="FS27" s="31"/>
      <c r="FT27" s="31"/>
      <c r="FU27" s="31"/>
      <c r="FV27" s="31"/>
      <c r="FW27" s="31"/>
      <c r="FX27" s="74"/>
      <c r="FY27" s="74"/>
      <c r="FZ27" s="31"/>
      <c r="GA27" s="31"/>
      <c r="GB27" s="31"/>
      <c r="GC27" s="31"/>
      <c r="GD27" s="31"/>
      <c r="GE27" s="74"/>
      <c r="GF27" s="74"/>
      <c r="GG27" s="31"/>
      <c r="GH27" s="31"/>
      <c r="GI27" s="31"/>
      <c r="GJ27" s="31"/>
      <c r="GK27" s="31"/>
      <c r="GL27" s="74"/>
      <c r="GM27" s="74"/>
      <c r="GN27" s="31"/>
      <c r="GO27" s="31"/>
      <c r="GP27" s="31"/>
      <c r="GQ27" s="31"/>
      <c r="GR27" s="31"/>
      <c r="GS27" s="74"/>
      <c r="GT27" s="74"/>
      <c r="GU27" s="31"/>
      <c r="GV27" s="31"/>
      <c r="GW27" s="31"/>
      <c r="GX27" s="31"/>
      <c r="GY27" s="31"/>
      <c r="GZ27" s="74"/>
      <c r="HA27" s="74"/>
      <c r="HB27" s="31"/>
      <c r="HC27" s="31"/>
      <c r="HD27" s="31"/>
      <c r="HE27" s="31"/>
      <c r="HF27" s="31"/>
      <c r="HG27" s="74"/>
      <c r="HH27" s="74"/>
      <c r="HI27" s="31"/>
      <c r="HJ27" s="31"/>
      <c r="HK27" s="31"/>
      <c r="HL27" s="31"/>
      <c r="HM27" s="31"/>
      <c r="HN27" s="74"/>
      <c r="HO27" s="74"/>
      <c r="HP27" s="31"/>
      <c r="HQ27" s="31"/>
      <c r="HR27" s="31"/>
      <c r="HS27" s="31"/>
      <c r="HT27" s="31"/>
      <c r="HU27" s="74"/>
      <c r="HV27" s="74"/>
      <c r="HW27" s="31"/>
      <c r="HX27" s="31"/>
      <c r="HY27" s="31"/>
      <c r="HZ27" s="31"/>
      <c r="IA27" s="31"/>
      <c r="IB27" s="74"/>
      <c r="IC27" s="74"/>
      <c r="ID27" s="31"/>
      <c r="IE27" s="31"/>
      <c r="IF27" s="31"/>
      <c r="IG27" s="31"/>
      <c r="IH27" s="31"/>
      <c r="II27" s="74"/>
      <c r="IJ27" s="74"/>
      <c r="IK27" s="31"/>
      <c r="IL27" s="31"/>
      <c r="IM27" s="31"/>
      <c r="IN27" s="31"/>
      <c r="IO27" s="31"/>
      <c r="IP27" s="74"/>
      <c r="IQ27" s="74"/>
      <c r="IR27" s="31"/>
      <c r="IS27" s="31"/>
      <c r="IT27" s="31"/>
      <c r="IU27" s="31"/>
      <c r="IV27" s="31"/>
      <c r="IW27" s="74"/>
      <c r="IX27" s="74"/>
      <c r="IY27" s="31"/>
      <c r="IZ27" s="31"/>
      <c r="JA27" s="31"/>
      <c r="JB27" s="31"/>
      <c r="JC27" s="31"/>
      <c r="JD27" s="74"/>
      <c r="JE27" s="74"/>
      <c r="JF27" s="31"/>
      <c r="JG27" s="31"/>
      <c r="JH27" s="31"/>
      <c r="JI27" s="31"/>
      <c r="JJ27" s="31"/>
      <c r="JK27" s="74"/>
      <c r="JL27" s="74"/>
      <c r="JM27" s="31"/>
      <c r="JN27" s="31"/>
      <c r="JO27" s="31"/>
      <c r="JP27" s="31"/>
      <c r="JQ27" s="31"/>
      <c r="JR27" s="74"/>
      <c r="JS27" s="74"/>
      <c r="JT27" s="31"/>
      <c r="JU27" s="31"/>
      <c r="JV27" s="31"/>
      <c r="JW27" s="31"/>
      <c r="JX27" s="31"/>
      <c r="JY27" s="74"/>
      <c r="JZ27" s="74"/>
      <c r="KA27" s="31"/>
      <c r="KB27" s="31"/>
      <c r="KC27" s="31"/>
      <c r="KD27" s="31"/>
      <c r="KE27" s="31"/>
      <c r="KF27" s="74"/>
      <c r="KG27" s="74"/>
      <c r="KH27" s="31"/>
      <c r="KI27" s="31"/>
      <c r="KJ27" s="31"/>
      <c r="KK27" s="31"/>
      <c r="KL27" s="31"/>
      <c r="KM27" s="74"/>
      <c r="KN27" s="74"/>
      <c r="KO27" s="31"/>
      <c r="KP27" s="31"/>
      <c r="KQ27" s="31"/>
      <c r="KR27" s="31"/>
      <c r="KS27" s="31"/>
      <c r="KT27" s="74"/>
      <c r="KU27" s="74"/>
      <c r="KV27" s="31"/>
      <c r="KW27" s="31"/>
      <c r="KX27" s="31"/>
      <c r="KY27" s="31"/>
      <c r="KZ27" s="31"/>
      <c r="LA27" s="74"/>
      <c r="LB27" s="74"/>
      <c r="LC27" s="31"/>
      <c r="LD27" s="31"/>
      <c r="LE27" s="31"/>
      <c r="LF27" s="31"/>
      <c r="LG27" s="31"/>
      <c r="LH27" s="74"/>
      <c r="LI27" s="74"/>
      <c r="LJ27" s="31"/>
      <c r="LK27" s="31"/>
      <c r="LL27" s="31"/>
      <c r="LM27" s="31"/>
      <c r="LN27" s="31"/>
      <c r="LO27" s="74"/>
      <c r="LP27" s="74"/>
      <c r="LQ27" s="31"/>
      <c r="LR27" s="31"/>
      <c r="LS27" s="31"/>
      <c r="LT27" s="31"/>
      <c r="LU27" s="31"/>
      <c r="LV27" s="74"/>
      <c r="LW27" s="74"/>
      <c r="LX27" s="31"/>
      <c r="LY27" s="31"/>
      <c r="LZ27" s="31"/>
      <c r="MA27" s="31"/>
      <c r="MB27" s="31"/>
      <c r="MC27" s="74"/>
      <c r="MD27" s="74"/>
      <c r="ME27" s="31"/>
      <c r="MF27" s="31"/>
      <c r="MG27" s="31"/>
      <c r="MH27" s="31"/>
      <c r="MI27" s="31"/>
      <c r="MJ27" s="74"/>
      <c r="MK27" s="74"/>
      <c r="ML27" s="31"/>
      <c r="MM27" s="31"/>
      <c r="MN27" s="31"/>
      <c r="MO27" s="31"/>
      <c r="MP27" s="31"/>
      <c r="MQ27" s="74"/>
      <c r="MR27" s="74"/>
      <c r="MS27" s="31"/>
      <c r="MT27" s="31"/>
      <c r="MU27" s="31"/>
      <c r="MV27" s="31"/>
      <c r="MW27" s="31"/>
      <c r="MX27" s="74"/>
      <c r="MY27" s="74"/>
      <c r="MZ27" s="31"/>
      <c r="NA27" s="31"/>
      <c r="NB27" s="31"/>
      <c r="NC27" s="31"/>
      <c r="ND27" s="31"/>
      <c r="NE27" s="74"/>
      <c r="NF27" s="74"/>
      <c r="NG27" s="31"/>
      <c r="NH27" s="31"/>
      <c r="NI27" s="31"/>
      <c r="NJ27" s="31"/>
      <c r="NK27" s="31"/>
      <c r="NL27" s="74"/>
      <c r="NM27" s="74"/>
      <c r="NN27" s="31"/>
      <c r="NO27" s="31"/>
      <c r="NP27" s="31"/>
      <c r="NQ27" s="31"/>
      <c r="NR27" s="31"/>
      <c r="NS27" s="74"/>
      <c r="NT27" s="74"/>
    </row>
    <row r="28" spans="2:384" s="29" customFormat="1" ht="9" customHeight="1" outlineLevel="2" x14ac:dyDescent="0.2">
      <c r="B28" s="78">
        <v>2.0399999999999991</v>
      </c>
      <c r="C28" s="35" t="s">
        <v>62</v>
      </c>
      <c r="D28" s="35"/>
      <c r="E28" s="75"/>
      <c r="F28" s="39"/>
      <c r="G28" s="75"/>
      <c r="H28" s="75"/>
      <c r="I28" s="40"/>
      <c r="J28" s="75"/>
      <c r="K28" s="35"/>
      <c r="L28" s="35"/>
      <c r="N28" s="31"/>
      <c r="O28" s="31"/>
      <c r="P28" s="31"/>
      <c r="Q28" s="31"/>
      <c r="R28" s="31"/>
      <c r="S28" s="74"/>
      <c r="T28" s="74"/>
      <c r="U28" s="31"/>
      <c r="V28" s="31"/>
      <c r="W28" s="31"/>
      <c r="X28" s="31"/>
      <c r="Y28" s="31"/>
      <c r="Z28" s="74"/>
      <c r="AA28" s="74"/>
      <c r="AB28" s="31"/>
      <c r="AC28" s="31"/>
      <c r="AD28" s="31"/>
      <c r="AE28" s="31"/>
      <c r="AF28" s="31"/>
      <c r="AG28" s="74"/>
      <c r="AH28" s="74"/>
      <c r="AI28" s="31"/>
      <c r="AJ28" s="31"/>
      <c r="AK28" s="31"/>
      <c r="AL28" s="31"/>
      <c r="AM28" s="31"/>
      <c r="AN28" s="74"/>
      <c r="AO28" s="74"/>
      <c r="AP28" s="31"/>
      <c r="AQ28" s="31"/>
      <c r="AR28" s="31"/>
      <c r="AS28" s="31"/>
      <c r="AT28" s="31"/>
      <c r="AU28" s="74"/>
      <c r="AV28" s="74"/>
      <c r="AW28" s="31"/>
      <c r="AX28" s="31"/>
      <c r="AY28" s="31"/>
      <c r="AZ28" s="31"/>
      <c r="BA28" s="31"/>
      <c r="BB28" s="74"/>
      <c r="BC28" s="74"/>
      <c r="BD28" s="31"/>
      <c r="BE28" s="31"/>
      <c r="BF28" s="31"/>
      <c r="BG28" s="31"/>
      <c r="BH28" s="31"/>
      <c r="BI28" s="74"/>
      <c r="BJ28" s="74"/>
      <c r="BK28" s="31"/>
      <c r="BL28" s="31"/>
      <c r="BM28" s="31"/>
      <c r="BN28" s="31"/>
      <c r="BO28" s="31"/>
      <c r="BP28" s="74"/>
      <c r="BQ28" s="74"/>
      <c r="BR28" s="31"/>
      <c r="BS28" s="31"/>
      <c r="BT28" s="31"/>
      <c r="BU28" s="31"/>
      <c r="BV28" s="31"/>
      <c r="BW28" s="74"/>
      <c r="BX28" s="74"/>
      <c r="BY28" s="31"/>
      <c r="BZ28" s="31"/>
      <c r="CA28" s="31"/>
      <c r="CB28" s="31"/>
      <c r="CC28" s="31"/>
      <c r="CD28" s="74"/>
      <c r="CE28" s="74"/>
      <c r="CF28" s="31"/>
      <c r="CG28" s="31"/>
      <c r="CH28" s="31"/>
      <c r="CI28" s="31"/>
      <c r="CJ28" s="31"/>
      <c r="CK28" s="74"/>
      <c r="CL28" s="74"/>
      <c r="CM28" s="31"/>
      <c r="CN28" s="31"/>
      <c r="CO28" s="31"/>
      <c r="CP28" s="31"/>
      <c r="CQ28" s="31"/>
      <c r="CR28" s="74"/>
      <c r="CS28" s="74"/>
      <c r="CT28" s="31"/>
      <c r="CU28" s="31"/>
      <c r="CV28" s="31"/>
      <c r="CW28" s="31"/>
      <c r="CX28" s="31"/>
      <c r="CY28" s="74"/>
      <c r="CZ28" s="74"/>
      <c r="DA28" s="31"/>
      <c r="DB28" s="31"/>
      <c r="DC28" s="31"/>
      <c r="DD28" s="31"/>
      <c r="DE28" s="31"/>
      <c r="DF28" s="74"/>
      <c r="DG28" s="74"/>
      <c r="DH28" s="31"/>
      <c r="DI28" s="31"/>
      <c r="DJ28" s="31"/>
      <c r="DK28" s="31"/>
      <c r="DL28" s="31"/>
      <c r="DM28" s="74"/>
      <c r="DN28" s="74"/>
      <c r="DO28" s="31"/>
      <c r="DP28" s="77"/>
      <c r="DQ28" s="31"/>
      <c r="DR28" s="31"/>
      <c r="DS28" s="31"/>
      <c r="DT28" s="74"/>
      <c r="DU28" s="74"/>
      <c r="DV28" s="31"/>
      <c r="DW28" s="31"/>
      <c r="DX28" s="31"/>
      <c r="DY28" s="31"/>
      <c r="DZ28" s="31"/>
      <c r="EA28" s="74"/>
      <c r="EB28" s="74"/>
      <c r="EC28" s="31"/>
      <c r="ED28" s="31"/>
      <c r="EE28" s="31"/>
      <c r="EF28" s="31"/>
      <c r="EG28" s="31"/>
      <c r="EH28" s="74"/>
      <c r="EI28" s="74"/>
      <c r="EJ28" s="31"/>
      <c r="EK28" s="31"/>
      <c r="EL28" s="31"/>
      <c r="EM28" s="31"/>
      <c r="EN28" s="31"/>
      <c r="EO28" s="74"/>
      <c r="EP28" s="74"/>
      <c r="EQ28" s="31"/>
      <c r="ER28" s="31"/>
      <c r="ES28" s="31"/>
      <c r="ET28" s="31"/>
      <c r="EU28" s="31"/>
      <c r="EV28" s="74"/>
      <c r="EW28" s="74"/>
      <c r="EX28" s="31"/>
      <c r="EY28" s="31"/>
      <c r="EZ28" s="31"/>
      <c r="FA28" s="31"/>
      <c r="FB28" s="31"/>
      <c r="FC28" s="74"/>
      <c r="FD28" s="74"/>
      <c r="FE28" s="31"/>
      <c r="FF28" s="31"/>
      <c r="FG28" s="31"/>
      <c r="FH28" s="31"/>
      <c r="FI28" s="31"/>
      <c r="FJ28" s="74"/>
      <c r="FK28" s="74"/>
      <c r="FL28" s="31"/>
      <c r="FM28" s="31"/>
      <c r="FN28" s="31"/>
      <c r="FO28" s="31"/>
      <c r="FP28" s="31"/>
      <c r="FQ28" s="74"/>
      <c r="FR28" s="74"/>
      <c r="FS28" s="31"/>
      <c r="FT28" s="31"/>
      <c r="FU28" s="31"/>
      <c r="FV28" s="31"/>
      <c r="FW28" s="31"/>
      <c r="FX28" s="74"/>
      <c r="FY28" s="74"/>
      <c r="FZ28" s="31"/>
      <c r="GA28" s="31"/>
      <c r="GB28" s="31"/>
      <c r="GC28" s="31"/>
      <c r="GD28" s="31"/>
      <c r="GE28" s="74"/>
      <c r="GF28" s="74"/>
      <c r="GG28" s="31"/>
      <c r="GH28" s="31"/>
      <c r="GI28" s="31"/>
      <c r="GJ28" s="31"/>
      <c r="GK28" s="31"/>
      <c r="GL28" s="74"/>
      <c r="GM28" s="74"/>
      <c r="GN28" s="31"/>
      <c r="GO28" s="31"/>
      <c r="GP28" s="31"/>
      <c r="GQ28" s="31"/>
      <c r="GR28" s="31"/>
      <c r="GS28" s="74"/>
      <c r="GT28" s="74"/>
      <c r="GU28" s="31"/>
      <c r="GV28" s="31"/>
      <c r="GW28" s="31"/>
      <c r="GX28" s="31"/>
      <c r="GY28" s="31"/>
      <c r="GZ28" s="74"/>
      <c r="HA28" s="74"/>
      <c r="HB28" s="31"/>
      <c r="HC28" s="31"/>
      <c r="HD28" s="31"/>
      <c r="HE28" s="31"/>
      <c r="HF28" s="31"/>
      <c r="HG28" s="74"/>
      <c r="HH28" s="74"/>
      <c r="HI28" s="31"/>
      <c r="HJ28" s="31"/>
      <c r="HK28" s="31"/>
      <c r="HL28" s="31"/>
      <c r="HM28" s="31"/>
      <c r="HN28" s="74"/>
      <c r="HO28" s="74"/>
      <c r="HP28" s="31"/>
      <c r="HQ28" s="31"/>
      <c r="HR28" s="31"/>
      <c r="HS28" s="31"/>
      <c r="HT28" s="31"/>
      <c r="HU28" s="74"/>
      <c r="HV28" s="74"/>
      <c r="HW28" s="31"/>
      <c r="HX28" s="31"/>
      <c r="HY28" s="31"/>
      <c r="HZ28" s="31"/>
      <c r="IA28" s="31"/>
      <c r="IB28" s="74"/>
      <c r="IC28" s="74"/>
      <c r="ID28" s="31"/>
      <c r="IE28" s="31"/>
      <c r="IF28" s="31"/>
      <c r="IG28" s="31"/>
      <c r="IH28" s="31"/>
      <c r="II28" s="74"/>
      <c r="IJ28" s="74"/>
      <c r="IK28" s="31"/>
      <c r="IL28" s="31"/>
      <c r="IM28" s="31"/>
      <c r="IN28" s="31"/>
      <c r="IO28" s="31"/>
      <c r="IP28" s="74"/>
      <c r="IQ28" s="74"/>
      <c r="IR28" s="31"/>
      <c r="IS28" s="31"/>
      <c r="IT28" s="31"/>
      <c r="IU28" s="31"/>
      <c r="IV28" s="31"/>
      <c r="IW28" s="74"/>
      <c r="IX28" s="74"/>
      <c r="IY28" s="31"/>
      <c r="IZ28" s="31"/>
      <c r="JA28" s="31"/>
      <c r="JB28" s="31"/>
      <c r="JC28" s="31"/>
      <c r="JD28" s="74"/>
      <c r="JE28" s="74"/>
      <c r="JF28" s="31"/>
      <c r="JG28" s="31"/>
      <c r="JH28" s="31"/>
      <c r="JI28" s="31"/>
      <c r="JJ28" s="31"/>
      <c r="JK28" s="74"/>
      <c r="JL28" s="74"/>
      <c r="JM28" s="31"/>
      <c r="JN28" s="31"/>
      <c r="JO28" s="31"/>
      <c r="JP28" s="31"/>
      <c r="JQ28" s="31"/>
      <c r="JR28" s="74"/>
      <c r="JS28" s="74"/>
      <c r="JT28" s="31"/>
      <c r="JU28" s="31"/>
      <c r="JV28" s="31"/>
      <c r="JW28" s="31"/>
      <c r="JX28" s="31"/>
      <c r="JY28" s="74"/>
      <c r="JZ28" s="74"/>
      <c r="KA28" s="31"/>
      <c r="KB28" s="31"/>
      <c r="KC28" s="31"/>
      <c r="KD28" s="31"/>
      <c r="KE28" s="31"/>
      <c r="KF28" s="74"/>
      <c r="KG28" s="74"/>
      <c r="KH28" s="31"/>
      <c r="KI28" s="31"/>
      <c r="KJ28" s="31"/>
      <c r="KK28" s="31"/>
      <c r="KL28" s="31"/>
      <c r="KM28" s="74"/>
      <c r="KN28" s="74"/>
      <c r="KO28" s="31"/>
      <c r="KP28" s="31"/>
      <c r="KQ28" s="31"/>
      <c r="KR28" s="31"/>
      <c r="KS28" s="31"/>
      <c r="KT28" s="74"/>
      <c r="KU28" s="74"/>
      <c r="KV28" s="31"/>
      <c r="KW28" s="31"/>
      <c r="KX28" s="31"/>
      <c r="KY28" s="31"/>
      <c r="KZ28" s="31"/>
      <c r="LA28" s="74"/>
      <c r="LB28" s="74"/>
      <c r="LC28" s="31"/>
      <c r="LD28" s="31"/>
      <c r="LE28" s="31"/>
      <c r="LF28" s="31"/>
      <c r="LG28" s="31"/>
      <c r="LH28" s="74"/>
      <c r="LI28" s="74"/>
      <c r="LJ28" s="31"/>
      <c r="LK28" s="31"/>
      <c r="LL28" s="31"/>
      <c r="LM28" s="31"/>
      <c r="LN28" s="31"/>
      <c r="LO28" s="74"/>
      <c r="LP28" s="74"/>
      <c r="LQ28" s="31"/>
      <c r="LR28" s="31"/>
      <c r="LS28" s="31"/>
      <c r="LT28" s="31"/>
      <c r="LU28" s="31"/>
      <c r="LV28" s="74"/>
      <c r="LW28" s="74"/>
      <c r="LX28" s="31"/>
      <c r="LY28" s="31"/>
      <c r="LZ28" s="31"/>
      <c r="MA28" s="31"/>
      <c r="MB28" s="31"/>
      <c r="MC28" s="74"/>
      <c r="MD28" s="74"/>
      <c r="ME28" s="31"/>
      <c r="MF28" s="31"/>
      <c r="MG28" s="31"/>
      <c r="MH28" s="31"/>
      <c r="MI28" s="31"/>
      <c r="MJ28" s="74"/>
      <c r="MK28" s="74"/>
      <c r="ML28" s="31"/>
      <c r="MM28" s="31"/>
      <c r="MN28" s="31"/>
      <c r="MO28" s="31"/>
      <c r="MP28" s="31"/>
      <c r="MQ28" s="74"/>
      <c r="MR28" s="74"/>
      <c r="MS28" s="31"/>
      <c r="MT28" s="31"/>
      <c r="MU28" s="31"/>
      <c r="MV28" s="31"/>
      <c r="MW28" s="31"/>
      <c r="MX28" s="74"/>
      <c r="MY28" s="74"/>
      <c r="MZ28" s="31"/>
      <c r="NA28" s="31"/>
      <c r="NB28" s="31"/>
      <c r="NC28" s="31"/>
      <c r="ND28" s="31"/>
      <c r="NE28" s="74"/>
      <c r="NF28" s="74"/>
      <c r="NG28" s="31"/>
      <c r="NH28" s="31"/>
      <c r="NI28" s="31"/>
      <c r="NJ28" s="31"/>
      <c r="NK28" s="31"/>
      <c r="NL28" s="74"/>
      <c r="NM28" s="74"/>
      <c r="NN28" s="31"/>
      <c r="NO28" s="31"/>
      <c r="NP28" s="31"/>
      <c r="NQ28" s="31"/>
      <c r="NR28" s="31"/>
      <c r="NS28" s="74"/>
      <c r="NT28" s="74"/>
    </row>
    <row r="29" spans="2:384" s="29" customFormat="1" ht="9" customHeight="1" outlineLevel="2" x14ac:dyDescent="0.2">
      <c r="B29" s="78">
        <v>2.0499999999999989</v>
      </c>
      <c r="C29" s="35" t="s">
        <v>63</v>
      </c>
      <c r="D29" s="35"/>
      <c r="E29" s="75"/>
      <c r="F29" s="39"/>
      <c r="G29" s="75"/>
      <c r="H29" s="75"/>
      <c r="I29" s="40"/>
      <c r="J29" s="75"/>
      <c r="K29" s="35"/>
      <c r="L29" s="35"/>
      <c r="N29" s="31"/>
      <c r="O29" s="31"/>
      <c r="P29" s="31"/>
      <c r="Q29" s="31"/>
      <c r="R29" s="31"/>
      <c r="S29" s="74"/>
      <c r="T29" s="74"/>
      <c r="U29" s="31"/>
      <c r="V29" s="31"/>
      <c r="W29" s="31"/>
      <c r="X29" s="31"/>
      <c r="Y29" s="31"/>
      <c r="Z29" s="74"/>
      <c r="AA29" s="74"/>
      <c r="AB29" s="31"/>
      <c r="AC29" s="31"/>
      <c r="AD29" s="31"/>
      <c r="AE29" s="31"/>
      <c r="AF29" s="31"/>
      <c r="AG29" s="74"/>
      <c r="AH29" s="74"/>
      <c r="AI29" s="31"/>
      <c r="AJ29" s="31"/>
      <c r="AK29" s="31"/>
      <c r="AL29" s="31"/>
      <c r="AM29" s="31"/>
      <c r="AN29" s="74"/>
      <c r="AO29" s="74"/>
      <c r="AP29" s="31"/>
      <c r="AQ29" s="31"/>
      <c r="AR29" s="31"/>
      <c r="AS29" s="31"/>
      <c r="AT29" s="31"/>
      <c r="AU29" s="74"/>
      <c r="AV29" s="74"/>
      <c r="AW29" s="31"/>
      <c r="AX29" s="31"/>
      <c r="AY29" s="31"/>
      <c r="AZ29" s="31"/>
      <c r="BA29" s="31"/>
      <c r="BB29" s="74"/>
      <c r="BC29" s="74"/>
      <c r="BD29" s="31"/>
      <c r="BE29" s="31"/>
      <c r="BF29" s="31"/>
      <c r="BG29" s="31"/>
      <c r="BH29" s="31"/>
      <c r="BI29" s="74"/>
      <c r="BJ29" s="74"/>
      <c r="BK29" s="31"/>
      <c r="BL29" s="31"/>
      <c r="BM29" s="31"/>
      <c r="BN29" s="31"/>
      <c r="BO29" s="31"/>
      <c r="BP29" s="74"/>
      <c r="BQ29" s="74"/>
      <c r="BR29" s="31"/>
      <c r="BS29" s="31"/>
      <c r="BT29" s="31"/>
      <c r="BU29" s="31"/>
      <c r="BV29" s="31"/>
      <c r="BW29" s="74"/>
      <c r="BX29" s="74"/>
      <c r="BY29" s="31"/>
      <c r="BZ29" s="31"/>
      <c r="CA29" s="31"/>
      <c r="CB29" s="31"/>
      <c r="CC29" s="31"/>
      <c r="CD29" s="74"/>
      <c r="CE29" s="74"/>
      <c r="CF29" s="31"/>
      <c r="CG29" s="31"/>
      <c r="CH29" s="31"/>
      <c r="CI29" s="31"/>
      <c r="CJ29" s="31"/>
      <c r="CK29" s="74"/>
      <c r="CL29" s="74"/>
      <c r="CM29" s="31"/>
      <c r="CN29" s="31"/>
      <c r="CO29" s="31"/>
      <c r="CP29" s="31"/>
      <c r="CQ29" s="31"/>
      <c r="CR29" s="74"/>
      <c r="CS29" s="74"/>
      <c r="CT29" s="31"/>
      <c r="CU29" s="31"/>
      <c r="CV29" s="31"/>
      <c r="CW29" s="31"/>
      <c r="CX29" s="31"/>
      <c r="CY29" s="74"/>
      <c r="CZ29" s="74"/>
      <c r="DA29" s="31"/>
      <c r="DB29" s="31"/>
      <c r="DC29" s="31"/>
      <c r="DD29" s="31"/>
      <c r="DE29" s="31"/>
      <c r="DF29" s="74"/>
      <c r="DG29" s="74"/>
      <c r="DH29" s="31"/>
      <c r="DI29" s="31"/>
      <c r="DJ29" s="31"/>
      <c r="DK29" s="31"/>
      <c r="DL29" s="31"/>
      <c r="DM29" s="74"/>
      <c r="DN29" s="74"/>
      <c r="DO29" s="31"/>
      <c r="DP29" s="77"/>
      <c r="DQ29" s="31"/>
      <c r="DR29" s="31"/>
      <c r="DS29" s="31"/>
      <c r="DT29" s="74"/>
      <c r="DU29" s="74"/>
      <c r="DV29" s="31"/>
      <c r="DW29" s="31"/>
      <c r="DX29" s="31"/>
      <c r="DY29" s="31"/>
      <c r="DZ29" s="31"/>
      <c r="EA29" s="74"/>
      <c r="EB29" s="74"/>
      <c r="EC29" s="31"/>
      <c r="ED29" s="31"/>
      <c r="EE29" s="31"/>
      <c r="EF29" s="31"/>
      <c r="EG29" s="31"/>
      <c r="EH29" s="74"/>
      <c r="EI29" s="74"/>
      <c r="EJ29" s="31"/>
      <c r="EK29" s="31"/>
      <c r="EL29" s="31"/>
      <c r="EM29" s="31"/>
      <c r="EN29" s="31"/>
      <c r="EO29" s="74"/>
      <c r="EP29" s="74"/>
      <c r="EQ29" s="31"/>
      <c r="ER29" s="31"/>
      <c r="ES29" s="31"/>
      <c r="ET29" s="31"/>
      <c r="EU29" s="31"/>
      <c r="EV29" s="74"/>
      <c r="EW29" s="74"/>
      <c r="EX29" s="31"/>
      <c r="EY29" s="31"/>
      <c r="EZ29" s="31"/>
      <c r="FA29" s="31"/>
      <c r="FB29" s="31"/>
      <c r="FC29" s="74"/>
      <c r="FD29" s="74"/>
      <c r="FE29" s="31"/>
      <c r="FF29" s="31"/>
      <c r="FG29" s="31"/>
      <c r="FH29" s="31"/>
      <c r="FI29" s="31"/>
      <c r="FJ29" s="74"/>
      <c r="FK29" s="74"/>
      <c r="FL29" s="31"/>
      <c r="FM29" s="31"/>
      <c r="FN29" s="31"/>
      <c r="FO29" s="31"/>
      <c r="FP29" s="31"/>
      <c r="FQ29" s="74"/>
      <c r="FR29" s="74"/>
      <c r="FS29" s="31"/>
      <c r="FT29" s="31"/>
      <c r="FU29" s="31"/>
      <c r="FV29" s="31"/>
      <c r="FW29" s="31"/>
      <c r="FX29" s="74"/>
      <c r="FY29" s="74"/>
      <c r="FZ29" s="31"/>
      <c r="GA29" s="31"/>
      <c r="GB29" s="31"/>
      <c r="GC29" s="31"/>
      <c r="GD29" s="31"/>
      <c r="GE29" s="74"/>
      <c r="GF29" s="74"/>
      <c r="GG29" s="31"/>
      <c r="GH29" s="31"/>
      <c r="GI29" s="31"/>
      <c r="GJ29" s="31"/>
      <c r="GK29" s="31"/>
      <c r="GL29" s="74"/>
      <c r="GM29" s="74"/>
      <c r="GN29" s="31"/>
      <c r="GO29" s="31"/>
      <c r="GP29" s="31"/>
      <c r="GQ29" s="31"/>
      <c r="GR29" s="31"/>
      <c r="GS29" s="74"/>
      <c r="GT29" s="74"/>
      <c r="GU29" s="31"/>
      <c r="GV29" s="31"/>
      <c r="GW29" s="31"/>
      <c r="GX29" s="31"/>
      <c r="GY29" s="31"/>
      <c r="GZ29" s="74"/>
      <c r="HA29" s="74"/>
      <c r="HB29" s="31"/>
      <c r="HC29" s="31"/>
      <c r="HD29" s="31"/>
      <c r="HE29" s="31"/>
      <c r="HF29" s="31"/>
      <c r="HG29" s="74"/>
      <c r="HH29" s="74"/>
      <c r="HI29" s="31"/>
      <c r="HJ29" s="31"/>
      <c r="HK29" s="31"/>
      <c r="HL29" s="31"/>
      <c r="HM29" s="31"/>
      <c r="HN29" s="74"/>
      <c r="HO29" s="74"/>
      <c r="HP29" s="31"/>
      <c r="HQ29" s="31"/>
      <c r="HR29" s="31"/>
      <c r="HS29" s="31"/>
      <c r="HT29" s="31"/>
      <c r="HU29" s="74"/>
      <c r="HV29" s="74"/>
      <c r="HW29" s="31"/>
      <c r="HX29" s="31"/>
      <c r="HY29" s="31"/>
      <c r="HZ29" s="31"/>
      <c r="IA29" s="31"/>
      <c r="IB29" s="74"/>
      <c r="IC29" s="74"/>
      <c r="ID29" s="31"/>
      <c r="IE29" s="31"/>
      <c r="IF29" s="31"/>
      <c r="IG29" s="31"/>
      <c r="IH29" s="31"/>
      <c r="II29" s="74"/>
      <c r="IJ29" s="74"/>
      <c r="IK29" s="31"/>
      <c r="IL29" s="31"/>
      <c r="IM29" s="31"/>
      <c r="IN29" s="31"/>
      <c r="IO29" s="31"/>
      <c r="IP29" s="74"/>
      <c r="IQ29" s="74"/>
      <c r="IR29" s="31"/>
      <c r="IS29" s="31"/>
      <c r="IT29" s="31"/>
      <c r="IU29" s="31"/>
      <c r="IV29" s="31"/>
      <c r="IW29" s="74"/>
      <c r="IX29" s="74"/>
      <c r="IY29" s="31"/>
      <c r="IZ29" s="31"/>
      <c r="JA29" s="31"/>
      <c r="JB29" s="31"/>
      <c r="JC29" s="31"/>
      <c r="JD29" s="74"/>
      <c r="JE29" s="74"/>
      <c r="JF29" s="31"/>
      <c r="JG29" s="31"/>
      <c r="JH29" s="31"/>
      <c r="JI29" s="31"/>
      <c r="JJ29" s="31"/>
      <c r="JK29" s="74"/>
      <c r="JL29" s="74"/>
      <c r="JM29" s="31"/>
      <c r="JN29" s="31"/>
      <c r="JO29" s="31"/>
      <c r="JP29" s="31"/>
      <c r="JQ29" s="31"/>
      <c r="JR29" s="74"/>
      <c r="JS29" s="74"/>
      <c r="JT29" s="31"/>
      <c r="JU29" s="31"/>
      <c r="JV29" s="31"/>
      <c r="JW29" s="31"/>
      <c r="JX29" s="31"/>
      <c r="JY29" s="74"/>
      <c r="JZ29" s="74"/>
      <c r="KA29" s="31"/>
      <c r="KB29" s="31"/>
      <c r="KC29" s="31"/>
      <c r="KD29" s="31"/>
      <c r="KE29" s="31"/>
      <c r="KF29" s="74"/>
      <c r="KG29" s="74"/>
      <c r="KH29" s="31"/>
      <c r="KI29" s="31"/>
      <c r="KJ29" s="31"/>
      <c r="KK29" s="31"/>
      <c r="KL29" s="31"/>
      <c r="KM29" s="74"/>
      <c r="KN29" s="74"/>
      <c r="KO29" s="31"/>
      <c r="KP29" s="31"/>
      <c r="KQ29" s="31"/>
      <c r="KR29" s="31"/>
      <c r="KS29" s="31"/>
      <c r="KT29" s="74"/>
      <c r="KU29" s="74"/>
      <c r="KV29" s="31"/>
      <c r="KW29" s="31"/>
      <c r="KX29" s="31"/>
      <c r="KY29" s="31"/>
      <c r="KZ29" s="31"/>
      <c r="LA29" s="74"/>
      <c r="LB29" s="74"/>
      <c r="LC29" s="31"/>
      <c r="LD29" s="31"/>
      <c r="LE29" s="31"/>
      <c r="LF29" s="31"/>
      <c r="LG29" s="31"/>
      <c r="LH29" s="74"/>
      <c r="LI29" s="74"/>
      <c r="LJ29" s="31"/>
      <c r="LK29" s="31"/>
      <c r="LL29" s="31"/>
      <c r="LM29" s="31"/>
      <c r="LN29" s="31"/>
      <c r="LO29" s="74"/>
      <c r="LP29" s="74"/>
      <c r="LQ29" s="31"/>
      <c r="LR29" s="31"/>
      <c r="LS29" s="31"/>
      <c r="LT29" s="31"/>
      <c r="LU29" s="31"/>
      <c r="LV29" s="74"/>
      <c r="LW29" s="74"/>
      <c r="LX29" s="31"/>
      <c r="LY29" s="31"/>
      <c r="LZ29" s="31"/>
      <c r="MA29" s="31"/>
      <c r="MB29" s="31"/>
      <c r="MC29" s="74"/>
      <c r="MD29" s="74"/>
      <c r="ME29" s="31"/>
      <c r="MF29" s="31"/>
      <c r="MG29" s="31"/>
      <c r="MH29" s="31"/>
      <c r="MI29" s="31"/>
      <c r="MJ29" s="74"/>
      <c r="MK29" s="74"/>
      <c r="ML29" s="31"/>
      <c r="MM29" s="31"/>
      <c r="MN29" s="31"/>
      <c r="MO29" s="31"/>
      <c r="MP29" s="31"/>
      <c r="MQ29" s="74"/>
      <c r="MR29" s="74"/>
      <c r="MS29" s="31"/>
      <c r="MT29" s="31"/>
      <c r="MU29" s="31"/>
      <c r="MV29" s="31"/>
      <c r="MW29" s="31"/>
      <c r="MX29" s="74"/>
      <c r="MY29" s="74"/>
      <c r="MZ29" s="31"/>
      <c r="NA29" s="31"/>
      <c r="NB29" s="31"/>
      <c r="NC29" s="31"/>
      <c r="ND29" s="31"/>
      <c r="NE29" s="74"/>
      <c r="NF29" s="74"/>
      <c r="NG29" s="31"/>
      <c r="NH29" s="31"/>
      <c r="NI29" s="31"/>
      <c r="NJ29" s="31"/>
      <c r="NK29" s="31"/>
      <c r="NL29" s="74"/>
      <c r="NM29" s="74"/>
      <c r="NN29" s="31"/>
      <c r="NO29" s="31"/>
      <c r="NP29" s="31"/>
      <c r="NQ29" s="31"/>
      <c r="NR29" s="31"/>
      <c r="NS29" s="74"/>
      <c r="NT29" s="74"/>
    </row>
    <row r="30" spans="2:384" s="29" customFormat="1" ht="9" customHeight="1" outlineLevel="2" x14ac:dyDescent="0.2">
      <c r="B30" s="78">
        <v>2.0599999999999987</v>
      </c>
      <c r="C30" s="35" t="s">
        <v>68</v>
      </c>
      <c r="D30" s="35" t="s">
        <v>50</v>
      </c>
      <c r="E30" s="75"/>
      <c r="F30" s="39"/>
      <c r="G30" s="75"/>
      <c r="H30" s="75"/>
      <c r="I30" s="40"/>
      <c r="J30" s="75"/>
      <c r="K30" s="35"/>
      <c r="L30" s="35"/>
      <c r="N30" s="31"/>
      <c r="O30" s="31"/>
      <c r="P30" s="31"/>
      <c r="Q30" s="31"/>
      <c r="R30" s="31"/>
      <c r="S30" s="74"/>
      <c r="T30" s="74"/>
      <c r="U30" s="31"/>
      <c r="V30" s="31"/>
      <c r="W30" s="31"/>
      <c r="X30" s="31"/>
      <c r="Y30" s="31"/>
      <c r="Z30" s="74"/>
      <c r="AA30" s="74"/>
      <c r="AB30" s="31"/>
      <c r="AC30" s="31"/>
      <c r="AD30" s="31"/>
      <c r="AE30" s="31"/>
      <c r="AF30" s="31"/>
      <c r="AG30" s="74"/>
      <c r="AH30" s="74"/>
      <c r="AI30" s="31"/>
      <c r="AJ30" s="31"/>
      <c r="AK30" s="31"/>
      <c r="AL30" s="31"/>
      <c r="AM30" s="31"/>
      <c r="AN30" s="74"/>
      <c r="AO30" s="74"/>
      <c r="AP30" s="31"/>
      <c r="AQ30" s="31"/>
      <c r="AR30" s="31"/>
      <c r="AS30" s="31"/>
      <c r="AT30" s="31"/>
      <c r="AU30" s="74"/>
      <c r="AV30" s="74"/>
      <c r="AW30" s="31"/>
      <c r="AX30" s="31"/>
      <c r="AY30" s="31"/>
      <c r="AZ30" s="31"/>
      <c r="BA30" s="31"/>
      <c r="BB30" s="74"/>
      <c r="BC30" s="74"/>
      <c r="BD30" s="31"/>
      <c r="BE30" s="31"/>
      <c r="BF30" s="31"/>
      <c r="BG30" s="31"/>
      <c r="BH30" s="31"/>
      <c r="BI30" s="74"/>
      <c r="BJ30" s="74"/>
      <c r="BK30" s="31"/>
      <c r="BL30" s="31"/>
      <c r="BM30" s="31"/>
      <c r="BN30" s="31"/>
      <c r="BO30" s="31"/>
      <c r="BP30" s="74"/>
      <c r="BQ30" s="74"/>
      <c r="BR30" s="31"/>
      <c r="BS30" s="31"/>
      <c r="BT30" s="31"/>
      <c r="BU30" s="31"/>
      <c r="BV30" s="31"/>
      <c r="BW30" s="74"/>
      <c r="BX30" s="74"/>
      <c r="BY30" s="31"/>
      <c r="BZ30" s="31"/>
      <c r="CA30" s="31"/>
      <c r="CB30" s="31"/>
      <c r="CC30" s="31"/>
      <c r="CD30" s="74"/>
      <c r="CE30" s="74"/>
      <c r="CF30" s="31"/>
      <c r="CG30" s="31"/>
      <c r="CH30" s="31"/>
      <c r="CI30" s="31"/>
      <c r="CJ30" s="31"/>
      <c r="CK30" s="74"/>
      <c r="CL30" s="74"/>
      <c r="CM30" s="31"/>
      <c r="CN30" s="31"/>
      <c r="CO30" s="31"/>
      <c r="CP30" s="31"/>
      <c r="CQ30" s="31"/>
      <c r="CR30" s="74"/>
      <c r="CS30" s="74"/>
      <c r="CT30" s="31"/>
      <c r="CU30" s="31"/>
      <c r="CV30" s="31"/>
      <c r="CW30" s="31"/>
      <c r="CX30" s="31"/>
      <c r="CY30" s="74"/>
      <c r="CZ30" s="74"/>
      <c r="DA30" s="31"/>
      <c r="DB30" s="31"/>
      <c r="DC30" s="31"/>
      <c r="DD30" s="31"/>
      <c r="DE30" s="31"/>
      <c r="DF30" s="74"/>
      <c r="DG30" s="74"/>
      <c r="DH30" s="31"/>
      <c r="DI30" s="31"/>
      <c r="DJ30" s="31"/>
      <c r="DK30" s="31"/>
      <c r="DL30" s="31"/>
      <c r="DM30" s="74"/>
      <c r="DN30" s="74"/>
      <c r="DO30" s="31"/>
      <c r="DP30" s="77"/>
      <c r="DQ30" s="31"/>
      <c r="DR30" s="31"/>
      <c r="DS30" s="31"/>
      <c r="DT30" s="74"/>
      <c r="DU30" s="74"/>
      <c r="DV30" s="31"/>
      <c r="DW30" s="31"/>
      <c r="DX30" s="31"/>
      <c r="DY30" s="31"/>
      <c r="DZ30" s="31"/>
      <c r="EA30" s="74"/>
      <c r="EB30" s="74"/>
      <c r="EC30" s="31"/>
      <c r="ED30" s="31"/>
      <c r="EE30" s="31"/>
      <c r="EF30" s="31"/>
      <c r="EG30" s="31"/>
      <c r="EH30" s="74"/>
      <c r="EI30" s="74"/>
      <c r="EJ30" s="31"/>
      <c r="EK30" s="31"/>
      <c r="EL30" s="31"/>
      <c r="EM30" s="31"/>
      <c r="EN30" s="31"/>
      <c r="EO30" s="74"/>
      <c r="EP30" s="74"/>
      <c r="EQ30" s="31"/>
      <c r="ER30" s="31"/>
      <c r="ES30" s="31"/>
      <c r="ET30" s="31"/>
      <c r="EU30" s="31"/>
      <c r="EV30" s="74"/>
      <c r="EW30" s="74"/>
      <c r="EX30" s="31"/>
      <c r="EY30" s="31"/>
      <c r="EZ30" s="31"/>
      <c r="FA30" s="31"/>
      <c r="FB30" s="31"/>
      <c r="FC30" s="74"/>
      <c r="FD30" s="74"/>
      <c r="FE30" s="31"/>
      <c r="FF30" s="31"/>
      <c r="FG30" s="31"/>
      <c r="FH30" s="31"/>
      <c r="FI30" s="31"/>
      <c r="FJ30" s="74"/>
      <c r="FK30" s="74"/>
      <c r="FL30" s="31"/>
      <c r="FM30" s="31"/>
      <c r="FN30" s="31"/>
      <c r="FO30" s="31"/>
      <c r="FP30" s="31"/>
      <c r="FQ30" s="74"/>
      <c r="FR30" s="74"/>
      <c r="FS30" s="31"/>
      <c r="FT30" s="31"/>
      <c r="FU30" s="31"/>
      <c r="FV30" s="31"/>
      <c r="FW30" s="31"/>
      <c r="FX30" s="74"/>
      <c r="FY30" s="74"/>
      <c r="FZ30" s="31"/>
      <c r="GA30" s="31"/>
      <c r="GB30" s="31"/>
      <c r="GC30" s="31"/>
      <c r="GD30" s="31"/>
      <c r="GE30" s="74"/>
      <c r="GF30" s="74"/>
      <c r="GG30" s="31"/>
      <c r="GH30" s="31"/>
      <c r="GI30" s="31"/>
      <c r="GJ30" s="31"/>
      <c r="GK30" s="31"/>
      <c r="GL30" s="74"/>
      <c r="GM30" s="74"/>
      <c r="GN30" s="31"/>
      <c r="GO30" s="31"/>
      <c r="GP30" s="31"/>
      <c r="GQ30" s="31"/>
      <c r="GR30" s="31"/>
      <c r="GS30" s="74"/>
      <c r="GT30" s="74"/>
      <c r="GU30" s="31"/>
      <c r="GV30" s="31"/>
      <c r="GW30" s="31"/>
      <c r="GX30" s="31"/>
      <c r="GY30" s="31"/>
      <c r="GZ30" s="74"/>
      <c r="HA30" s="74"/>
      <c r="HB30" s="31"/>
      <c r="HC30" s="31"/>
      <c r="HD30" s="31"/>
      <c r="HE30" s="31"/>
      <c r="HF30" s="31"/>
      <c r="HG30" s="74"/>
      <c r="HH30" s="74"/>
      <c r="HI30" s="31"/>
      <c r="HJ30" s="31"/>
      <c r="HK30" s="31"/>
      <c r="HL30" s="31"/>
      <c r="HM30" s="31"/>
      <c r="HN30" s="74"/>
      <c r="HO30" s="74"/>
      <c r="HP30" s="31"/>
      <c r="HQ30" s="31"/>
      <c r="HR30" s="31"/>
      <c r="HS30" s="31"/>
      <c r="HT30" s="31"/>
      <c r="HU30" s="74"/>
      <c r="HV30" s="74"/>
      <c r="HW30" s="31"/>
      <c r="HX30" s="31"/>
      <c r="HY30" s="31"/>
      <c r="HZ30" s="31"/>
      <c r="IA30" s="31"/>
      <c r="IB30" s="74"/>
      <c r="IC30" s="74"/>
      <c r="ID30" s="31"/>
      <c r="IE30" s="31"/>
      <c r="IF30" s="31"/>
      <c r="IG30" s="31"/>
      <c r="IH30" s="31"/>
      <c r="II30" s="74"/>
      <c r="IJ30" s="74"/>
      <c r="IK30" s="31"/>
      <c r="IL30" s="31"/>
      <c r="IM30" s="31"/>
      <c r="IN30" s="31"/>
      <c r="IO30" s="31"/>
      <c r="IP30" s="74"/>
      <c r="IQ30" s="74"/>
      <c r="IR30" s="31"/>
      <c r="IS30" s="31"/>
      <c r="IT30" s="31"/>
      <c r="IU30" s="31"/>
      <c r="IV30" s="31"/>
      <c r="IW30" s="74"/>
      <c r="IX30" s="74"/>
      <c r="IY30" s="31"/>
      <c r="IZ30" s="31"/>
      <c r="JA30" s="31"/>
      <c r="JB30" s="31"/>
      <c r="JC30" s="31"/>
      <c r="JD30" s="74"/>
      <c r="JE30" s="74"/>
      <c r="JF30" s="31"/>
      <c r="JG30" s="31"/>
      <c r="JH30" s="31"/>
      <c r="JI30" s="31"/>
      <c r="JJ30" s="31"/>
      <c r="JK30" s="74"/>
      <c r="JL30" s="74"/>
      <c r="JM30" s="31"/>
      <c r="JN30" s="31"/>
      <c r="JO30" s="31"/>
      <c r="JP30" s="31"/>
      <c r="JQ30" s="31"/>
      <c r="JR30" s="74"/>
      <c r="JS30" s="74"/>
      <c r="JT30" s="31"/>
      <c r="JU30" s="31"/>
      <c r="JV30" s="31"/>
      <c r="JW30" s="31"/>
      <c r="JX30" s="31"/>
      <c r="JY30" s="74"/>
      <c r="JZ30" s="74"/>
      <c r="KA30" s="31"/>
      <c r="KB30" s="31"/>
      <c r="KC30" s="31"/>
      <c r="KD30" s="31"/>
      <c r="KE30" s="31"/>
      <c r="KF30" s="74"/>
      <c r="KG30" s="74"/>
      <c r="KH30" s="31"/>
      <c r="KI30" s="31"/>
      <c r="KJ30" s="31"/>
      <c r="KK30" s="31"/>
      <c r="KL30" s="31"/>
      <c r="KM30" s="74"/>
      <c r="KN30" s="74"/>
      <c r="KO30" s="31"/>
      <c r="KP30" s="31"/>
      <c r="KQ30" s="31"/>
      <c r="KR30" s="31"/>
      <c r="KS30" s="31"/>
      <c r="KT30" s="74"/>
      <c r="KU30" s="74"/>
      <c r="KV30" s="31"/>
      <c r="KW30" s="31"/>
      <c r="KX30" s="31"/>
      <c r="KY30" s="31"/>
      <c r="KZ30" s="31"/>
      <c r="LA30" s="74"/>
      <c r="LB30" s="74"/>
      <c r="LC30" s="31"/>
      <c r="LD30" s="31"/>
      <c r="LE30" s="31"/>
      <c r="LF30" s="31"/>
      <c r="LG30" s="31"/>
      <c r="LH30" s="74"/>
      <c r="LI30" s="74"/>
      <c r="LJ30" s="31"/>
      <c r="LK30" s="31"/>
      <c r="LL30" s="31"/>
      <c r="LM30" s="31"/>
      <c r="LN30" s="31"/>
      <c r="LO30" s="74"/>
      <c r="LP30" s="74"/>
      <c r="LQ30" s="31"/>
      <c r="LR30" s="31"/>
      <c r="LS30" s="31"/>
      <c r="LT30" s="31"/>
      <c r="LU30" s="31"/>
      <c r="LV30" s="74"/>
      <c r="LW30" s="74"/>
      <c r="LX30" s="31"/>
      <c r="LY30" s="31"/>
      <c r="LZ30" s="31"/>
      <c r="MA30" s="31"/>
      <c r="MB30" s="31"/>
      <c r="MC30" s="74"/>
      <c r="MD30" s="74"/>
      <c r="ME30" s="31"/>
      <c r="MF30" s="31"/>
      <c r="MG30" s="31"/>
      <c r="MH30" s="31"/>
      <c r="MI30" s="31"/>
      <c r="MJ30" s="74"/>
      <c r="MK30" s="74"/>
      <c r="ML30" s="31"/>
      <c r="MM30" s="31"/>
      <c r="MN30" s="31"/>
      <c r="MO30" s="31"/>
      <c r="MP30" s="31"/>
      <c r="MQ30" s="74"/>
      <c r="MR30" s="74"/>
      <c r="MS30" s="31"/>
      <c r="MT30" s="31"/>
      <c r="MU30" s="31"/>
      <c r="MV30" s="31"/>
      <c r="MW30" s="31"/>
      <c r="MX30" s="74"/>
      <c r="MY30" s="74"/>
      <c r="MZ30" s="31"/>
      <c r="NA30" s="31"/>
      <c r="NB30" s="31"/>
      <c r="NC30" s="31"/>
      <c r="ND30" s="31"/>
      <c r="NE30" s="74"/>
      <c r="NF30" s="74"/>
      <c r="NG30" s="31"/>
      <c r="NH30" s="31"/>
      <c r="NI30" s="31"/>
      <c r="NJ30" s="31"/>
      <c r="NK30" s="31"/>
      <c r="NL30" s="74"/>
      <c r="NM30" s="74"/>
      <c r="NN30" s="31"/>
      <c r="NO30" s="31"/>
      <c r="NP30" s="31"/>
      <c r="NQ30" s="31"/>
      <c r="NR30" s="31"/>
      <c r="NS30" s="74"/>
      <c r="NT30" s="74"/>
    </row>
    <row r="31" spans="2:384" s="29" customFormat="1" ht="9" customHeight="1" x14ac:dyDescent="0.2">
      <c r="B31" s="81" t="s">
        <v>25</v>
      </c>
      <c r="C31" s="82" t="s">
        <v>69</v>
      </c>
      <c r="D31" s="43"/>
      <c r="E31" s="75"/>
      <c r="F31" s="39"/>
      <c r="G31" s="75"/>
      <c r="H31" s="75"/>
      <c r="I31" s="40"/>
      <c r="J31" s="75"/>
      <c r="K31" s="35"/>
      <c r="L31" s="35"/>
      <c r="N31" s="31"/>
      <c r="O31" s="31"/>
      <c r="P31" s="31"/>
      <c r="Q31" s="31"/>
      <c r="R31" s="31"/>
      <c r="S31" s="74"/>
      <c r="T31" s="74"/>
      <c r="U31" s="31"/>
      <c r="V31" s="31"/>
      <c r="W31" s="31"/>
      <c r="X31" s="31"/>
      <c r="Y31" s="31"/>
      <c r="Z31" s="74"/>
      <c r="AA31" s="74"/>
      <c r="AB31" s="31"/>
      <c r="AC31" s="31"/>
      <c r="AD31" s="31"/>
      <c r="AE31" s="31"/>
      <c r="AF31" s="31"/>
      <c r="AG31" s="74"/>
      <c r="AH31" s="74"/>
      <c r="AI31" s="31"/>
      <c r="AJ31" s="31"/>
      <c r="AK31" s="31"/>
      <c r="AL31" s="31"/>
      <c r="AM31" s="31"/>
      <c r="AN31" s="74"/>
      <c r="AO31" s="74"/>
      <c r="AP31" s="31"/>
      <c r="AQ31" s="31"/>
      <c r="AR31" s="31"/>
      <c r="AS31" s="31"/>
      <c r="AT31" s="31"/>
      <c r="AU31" s="74"/>
      <c r="AV31" s="74"/>
      <c r="AW31" s="31"/>
      <c r="AX31" s="31"/>
      <c r="AY31" s="31"/>
      <c r="AZ31" s="31"/>
      <c r="BA31" s="31"/>
      <c r="BB31" s="74"/>
      <c r="BC31" s="74"/>
      <c r="BD31" s="31"/>
      <c r="BE31" s="31"/>
      <c r="BF31" s="31"/>
      <c r="BG31" s="31"/>
      <c r="BH31" s="31"/>
      <c r="BI31" s="74"/>
      <c r="BJ31" s="74"/>
      <c r="BK31" s="31"/>
      <c r="BL31" s="31"/>
      <c r="BM31" s="31"/>
      <c r="BN31" s="31"/>
      <c r="BO31" s="31"/>
      <c r="BP31" s="74"/>
      <c r="BQ31" s="74"/>
      <c r="BR31" s="31"/>
      <c r="BS31" s="31"/>
      <c r="BT31" s="31"/>
      <c r="BU31" s="31"/>
      <c r="BV31" s="31"/>
      <c r="BW31" s="74"/>
      <c r="BX31" s="74"/>
      <c r="BY31" s="31"/>
      <c r="BZ31" s="31"/>
      <c r="CA31" s="31"/>
      <c r="CB31" s="31"/>
      <c r="CC31" s="31"/>
      <c r="CD31" s="74"/>
      <c r="CE31" s="74"/>
      <c r="CF31" s="31"/>
      <c r="CG31" s="31"/>
      <c r="CH31" s="31"/>
      <c r="CI31" s="31"/>
      <c r="CJ31" s="31"/>
      <c r="CK31" s="74"/>
      <c r="CL31" s="74"/>
      <c r="CM31" s="31"/>
      <c r="CN31" s="31"/>
      <c r="CO31" s="31"/>
      <c r="CP31" s="31"/>
      <c r="CQ31" s="31"/>
      <c r="CR31" s="74"/>
      <c r="CS31" s="74"/>
      <c r="CT31" s="31"/>
      <c r="CU31" s="31"/>
      <c r="CV31" s="31"/>
      <c r="CW31" s="31"/>
      <c r="CX31" s="31"/>
      <c r="CY31" s="74"/>
      <c r="CZ31" s="74"/>
      <c r="DA31" s="31"/>
      <c r="DB31" s="31"/>
      <c r="DC31" s="31"/>
      <c r="DD31" s="31"/>
      <c r="DE31" s="31"/>
      <c r="DF31" s="74"/>
      <c r="DG31" s="74"/>
      <c r="DH31" s="31"/>
      <c r="DI31" s="31"/>
      <c r="DJ31" s="31"/>
      <c r="DK31" s="31"/>
      <c r="DL31" s="31"/>
      <c r="DM31" s="74"/>
      <c r="DN31" s="74"/>
      <c r="DO31" s="31"/>
      <c r="DP31" s="77"/>
      <c r="DQ31" s="31"/>
      <c r="DR31" s="31"/>
      <c r="DS31" s="31"/>
      <c r="DT31" s="74"/>
      <c r="DU31" s="74"/>
      <c r="DV31" s="31"/>
      <c r="DW31" s="31"/>
      <c r="DX31" s="31"/>
      <c r="DY31" s="31"/>
      <c r="DZ31" s="31"/>
      <c r="EA31" s="74"/>
      <c r="EB31" s="74"/>
      <c r="EC31" s="31"/>
      <c r="ED31" s="31"/>
      <c r="EE31" s="31"/>
      <c r="EF31" s="31"/>
      <c r="EG31" s="31"/>
      <c r="EH31" s="74"/>
      <c r="EI31" s="74"/>
      <c r="EJ31" s="31"/>
      <c r="EK31" s="31"/>
      <c r="EL31" s="31"/>
      <c r="EM31" s="31"/>
      <c r="EN31" s="31"/>
      <c r="EO31" s="74"/>
      <c r="EP31" s="74"/>
      <c r="EQ31" s="31"/>
      <c r="ER31" s="31"/>
      <c r="ES31" s="31"/>
      <c r="ET31" s="31"/>
      <c r="EU31" s="31"/>
      <c r="EV31" s="74"/>
      <c r="EW31" s="74"/>
      <c r="EX31" s="31"/>
      <c r="EY31" s="31"/>
      <c r="EZ31" s="31"/>
      <c r="FA31" s="31"/>
      <c r="FB31" s="31"/>
      <c r="FC31" s="74"/>
      <c r="FD31" s="74"/>
      <c r="FE31" s="31"/>
      <c r="FF31" s="31"/>
      <c r="FG31" s="31"/>
      <c r="FH31" s="31"/>
      <c r="FI31" s="31"/>
      <c r="FJ31" s="74"/>
      <c r="FK31" s="74"/>
      <c r="FL31" s="31"/>
      <c r="FM31" s="31"/>
      <c r="FN31" s="31"/>
      <c r="FO31" s="31"/>
      <c r="FP31" s="31"/>
      <c r="FQ31" s="74"/>
      <c r="FR31" s="74"/>
      <c r="FS31" s="31"/>
      <c r="FT31" s="31"/>
      <c r="FU31" s="31"/>
      <c r="FV31" s="31"/>
      <c r="FW31" s="31"/>
      <c r="FX31" s="74"/>
      <c r="FY31" s="74"/>
      <c r="FZ31" s="31"/>
      <c r="GA31" s="31"/>
      <c r="GB31" s="31"/>
      <c r="GC31" s="31"/>
      <c r="GD31" s="31"/>
      <c r="GE31" s="74"/>
      <c r="GF31" s="74"/>
      <c r="GG31" s="31"/>
      <c r="GH31" s="31"/>
      <c r="GI31" s="31"/>
      <c r="GJ31" s="31"/>
      <c r="GK31" s="31"/>
      <c r="GL31" s="74"/>
      <c r="GM31" s="74"/>
      <c r="GN31" s="31"/>
      <c r="GO31" s="31"/>
      <c r="GP31" s="31"/>
      <c r="GQ31" s="31"/>
      <c r="GR31" s="31"/>
      <c r="GS31" s="74"/>
      <c r="GT31" s="74"/>
      <c r="GU31" s="31"/>
      <c r="GV31" s="31"/>
      <c r="GW31" s="31"/>
      <c r="GX31" s="31"/>
      <c r="GY31" s="31"/>
      <c r="GZ31" s="74"/>
      <c r="HA31" s="74"/>
      <c r="HB31" s="31"/>
      <c r="HC31" s="31"/>
      <c r="HD31" s="31"/>
      <c r="HE31" s="31"/>
      <c r="HF31" s="31"/>
      <c r="HG31" s="74"/>
      <c r="HH31" s="74"/>
      <c r="HI31" s="31"/>
      <c r="HJ31" s="31"/>
      <c r="HK31" s="31"/>
      <c r="HL31" s="31"/>
      <c r="HM31" s="31"/>
      <c r="HN31" s="74"/>
      <c r="HO31" s="74"/>
      <c r="HP31" s="31"/>
      <c r="HQ31" s="31"/>
      <c r="HR31" s="31"/>
      <c r="HS31" s="31"/>
      <c r="HT31" s="31"/>
      <c r="HU31" s="74"/>
      <c r="HV31" s="74"/>
      <c r="HW31" s="31"/>
      <c r="HX31" s="31"/>
      <c r="HY31" s="31"/>
      <c r="HZ31" s="31"/>
      <c r="IA31" s="31"/>
      <c r="IB31" s="74"/>
      <c r="IC31" s="74"/>
      <c r="ID31" s="31"/>
      <c r="IE31" s="31"/>
      <c r="IF31" s="31"/>
      <c r="IG31" s="31"/>
      <c r="IH31" s="31"/>
      <c r="II31" s="74"/>
      <c r="IJ31" s="74"/>
      <c r="IK31" s="31"/>
      <c r="IL31" s="31"/>
      <c r="IM31" s="31"/>
      <c r="IN31" s="31"/>
      <c r="IO31" s="31"/>
      <c r="IP31" s="74"/>
      <c r="IQ31" s="74"/>
      <c r="IR31" s="31"/>
      <c r="IS31" s="31"/>
      <c r="IT31" s="31"/>
      <c r="IU31" s="31"/>
      <c r="IV31" s="31"/>
      <c r="IW31" s="74"/>
      <c r="IX31" s="74"/>
      <c r="IY31" s="31"/>
      <c r="IZ31" s="31"/>
      <c r="JA31" s="31"/>
      <c r="JB31" s="31"/>
      <c r="JC31" s="31"/>
      <c r="JD31" s="74"/>
      <c r="JE31" s="74"/>
      <c r="JF31" s="31"/>
      <c r="JG31" s="31"/>
      <c r="JH31" s="31"/>
      <c r="JI31" s="31"/>
      <c r="JJ31" s="31"/>
      <c r="JK31" s="74"/>
      <c r="JL31" s="74"/>
      <c r="JM31" s="31"/>
      <c r="JN31" s="31"/>
      <c r="JO31" s="31"/>
      <c r="JP31" s="31"/>
      <c r="JQ31" s="31"/>
      <c r="JR31" s="74"/>
      <c r="JS31" s="74"/>
      <c r="JT31" s="31"/>
      <c r="JU31" s="31"/>
      <c r="JV31" s="31"/>
      <c r="JW31" s="31"/>
      <c r="JX31" s="31"/>
      <c r="JY31" s="74"/>
      <c r="JZ31" s="74"/>
      <c r="KA31" s="31"/>
      <c r="KB31" s="31"/>
      <c r="KC31" s="31"/>
      <c r="KD31" s="31"/>
      <c r="KE31" s="31"/>
      <c r="KF31" s="74"/>
      <c r="KG31" s="74"/>
      <c r="KH31" s="31"/>
      <c r="KI31" s="31"/>
      <c r="KJ31" s="31"/>
      <c r="KK31" s="31"/>
      <c r="KL31" s="31"/>
      <c r="KM31" s="74"/>
      <c r="KN31" s="74"/>
      <c r="KO31" s="31"/>
      <c r="KP31" s="31"/>
      <c r="KQ31" s="31"/>
      <c r="KR31" s="31"/>
      <c r="KS31" s="31"/>
      <c r="KT31" s="74"/>
      <c r="KU31" s="74"/>
      <c r="KV31" s="31"/>
      <c r="KW31" s="31"/>
      <c r="KX31" s="31"/>
      <c r="KY31" s="31"/>
      <c r="KZ31" s="31"/>
      <c r="LA31" s="74"/>
      <c r="LB31" s="74"/>
      <c r="LC31" s="31"/>
      <c r="LD31" s="31"/>
      <c r="LE31" s="31"/>
      <c r="LF31" s="31"/>
      <c r="LG31" s="31"/>
      <c r="LH31" s="74"/>
      <c r="LI31" s="74"/>
      <c r="LJ31" s="31"/>
      <c r="LK31" s="31"/>
      <c r="LL31" s="31"/>
      <c r="LM31" s="31"/>
      <c r="LN31" s="31"/>
      <c r="LO31" s="74"/>
      <c r="LP31" s="74"/>
      <c r="LQ31" s="31"/>
      <c r="LR31" s="31"/>
      <c r="LS31" s="31"/>
      <c r="LT31" s="31"/>
      <c r="LU31" s="31"/>
      <c r="LV31" s="74"/>
      <c r="LW31" s="74"/>
      <c r="LX31" s="31"/>
      <c r="LY31" s="31"/>
      <c r="LZ31" s="31"/>
      <c r="MA31" s="31"/>
      <c r="MB31" s="31"/>
      <c r="MC31" s="74"/>
      <c r="MD31" s="74"/>
      <c r="ME31" s="31"/>
      <c r="MF31" s="31"/>
      <c r="MG31" s="31"/>
      <c r="MH31" s="31"/>
      <c r="MI31" s="31"/>
      <c r="MJ31" s="74"/>
      <c r="MK31" s="74"/>
      <c r="ML31" s="31"/>
      <c r="MM31" s="31"/>
      <c r="MN31" s="31"/>
      <c r="MO31" s="31"/>
      <c r="MP31" s="31"/>
      <c r="MQ31" s="74"/>
      <c r="MR31" s="74"/>
      <c r="MS31" s="31"/>
      <c r="MT31" s="31"/>
      <c r="MU31" s="31"/>
      <c r="MV31" s="31"/>
      <c r="MW31" s="31"/>
      <c r="MX31" s="74"/>
      <c r="MY31" s="74"/>
      <c r="MZ31" s="31"/>
      <c r="NA31" s="31"/>
      <c r="NB31" s="31"/>
      <c r="NC31" s="31"/>
      <c r="ND31" s="31"/>
      <c r="NE31" s="74"/>
      <c r="NF31" s="74"/>
      <c r="NG31" s="31"/>
      <c r="NH31" s="31"/>
      <c r="NI31" s="31"/>
      <c r="NJ31" s="31"/>
      <c r="NK31" s="31"/>
      <c r="NL31" s="74"/>
      <c r="NM31" s="74"/>
      <c r="NN31" s="31"/>
      <c r="NO31" s="31"/>
      <c r="NP31" s="31"/>
      <c r="NQ31" s="31"/>
      <c r="NR31" s="31"/>
      <c r="NS31" s="74"/>
      <c r="NT31" s="74"/>
    </row>
    <row r="32" spans="2:384" s="29" customFormat="1" ht="9" customHeight="1" outlineLevel="1" x14ac:dyDescent="0.2">
      <c r="B32" s="79">
        <v>1</v>
      </c>
      <c r="C32" s="65" t="s">
        <v>70</v>
      </c>
      <c r="D32" s="65"/>
      <c r="E32" s="75"/>
      <c r="F32" s="39"/>
      <c r="G32" s="75"/>
      <c r="H32" s="75"/>
      <c r="I32" s="40"/>
      <c r="J32" s="75"/>
      <c r="K32" s="35"/>
      <c r="L32" s="35"/>
      <c r="N32" s="31"/>
      <c r="O32" s="31"/>
      <c r="P32" s="31"/>
      <c r="Q32" s="31"/>
      <c r="R32" s="31"/>
      <c r="S32" s="74"/>
      <c r="T32" s="74"/>
      <c r="U32" s="31"/>
      <c r="V32" s="31"/>
      <c r="W32" s="31"/>
      <c r="X32" s="31"/>
      <c r="Y32" s="31"/>
      <c r="Z32" s="74"/>
      <c r="AA32" s="74"/>
      <c r="AB32" s="31"/>
      <c r="AC32" s="31"/>
      <c r="AD32" s="31"/>
      <c r="AE32" s="31"/>
      <c r="AF32" s="31"/>
      <c r="AG32" s="74"/>
      <c r="AH32" s="74"/>
      <c r="AI32" s="31"/>
      <c r="AJ32" s="31"/>
      <c r="AK32" s="31"/>
      <c r="AL32" s="31"/>
      <c r="AM32" s="31"/>
      <c r="AN32" s="74"/>
      <c r="AO32" s="74"/>
      <c r="AP32" s="31"/>
      <c r="AQ32" s="31"/>
      <c r="AR32" s="31"/>
      <c r="AS32" s="31"/>
      <c r="AT32" s="31"/>
      <c r="AU32" s="74"/>
      <c r="AV32" s="74"/>
      <c r="AW32" s="31"/>
      <c r="AX32" s="31"/>
      <c r="AY32" s="31"/>
      <c r="AZ32" s="31"/>
      <c r="BA32" s="31"/>
      <c r="BB32" s="74"/>
      <c r="BC32" s="74"/>
      <c r="BD32" s="31"/>
      <c r="BE32" s="31"/>
      <c r="BF32" s="31"/>
      <c r="BG32" s="31"/>
      <c r="BH32" s="31"/>
      <c r="BI32" s="74"/>
      <c r="BJ32" s="74"/>
      <c r="BK32" s="31"/>
      <c r="BL32" s="31"/>
      <c r="BM32" s="31"/>
      <c r="BN32" s="31"/>
      <c r="BO32" s="31"/>
      <c r="BP32" s="74"/>
      <c r="BQ32" s="74"/>
      <c r="BR32" s="31"/>
      <c r="BS32" s="31"/>
      <c r="BT32" s="31"/>
      <c r="BU32" s="31"/>
      <c r="BV32" s="31"/>
      <c r="BW32" s="74"/>
      <c r="BX32" s="74"/>
      <c r="BY32" s="31"/>
      <c r="BZ32" s="31"/>
      <c r="CA32" s="31"/>
      <c r="CB32" s="31"/>
      <c r="CC32" s="31"/>
      <c r="CD32" s="74"/>
      <c r="CE32" s="74"/>
      <c r="CF32" s="31"/>
      <c r="CG32" s="31"/>
      <c r="CH32" s="31"/>
      <c r="CI32" s="31"/>
      <c r="CJ32" s="31"/>
      <c r="CK32" s="74"/>
      <c r="CL32" s="74"/>
      <c r="CM32" s="31"/>
      <c r="CN32" s="31"/>
      <c r="CO32" s="31"/>
      <c r="CP32" s="31"/>
      <c r="CQ32" s="31"/>
      <c r="CR32" s="74"/>
      <c r="CS32" s="74"/>
      <c r="CT32" s="31"/>
      <c r="CU32" s="31"/>
      <c r="CV32" s="31"/>
      <c r="CW32" s="31"/>
      <c r="CX32" s="31"/>
      <c r="CY32" s="74"/>
      <c r="CZ32" s="74"/>
      <c r="DA32" s="31"/>
      <c r="DB32" s="31"/>
      <c r="DC32" s="31"/>
      <c r="DD32" s="31"/>
      <c r="DE32" s="31"/>
      <c r="DF32" s="74"/>
      <c r="DG32" s="74"/>
      <c r="DH32" s="31"/>
      <c r="DI32" s="31"/>
      <c r="DJ32" s="31"/>
      <c r="DK32" s="31"/>
      <c r="DL32" s="31"/>
      <c r="DM32" s="74"/>
      <c r="DN32" s="74"/>
      <c r="DO32" s="31"/>
      <c r="DP32" s="77"/>
      <c r="DQ32" s="31"/>
      <c r="DR32" s="31"/>
      <c r="DS32" s="31"/>
      <c r="DT32" s="74"/>
      <c r="DU32" s="74"/>
      <c r="DV32" s="31"/>
      <c r="DW32" s="31"/>
      <c r="DX32" s="31"/>
      <c r="DY32" s="31"/>
      <c r="DZ32" s="31"/>
      <c r="EA32" s="74"/>
      <c r="EB32" s="74"/>
      <c r="EC32" s="31"/>
      <c r="ED32" s="31"/>
      <c r="EE32" s="31"/>
      <c r="EF32" s="31"/>
      <c r="EG32" s="31"/>
      <c r="EH32" s="74"/>
      <c r="EI32" s="74"/>
      <c r="EJ32" s="31"/>
      <c r="EK32" s="31"/>
      <c r="EL32" s="31"/>
      <c r="EM32" s="31"/>
      <c r="EN32" s="31"/>
      <c r="EO32" s="74"/>
      <c r="EP32" s="74"/>
      <c r="EQ32" s="31"/>
      <c r="ER32" s="31"/>
      <c r="ES32" s="31"/>
      <c r="ET32" s="31"/>
      <c r="EU32" s="31"/>
      <c r="EV32" s="74"/>
      <c r="EW32" s="74"/>
      <c r="EX32" s="31"/>
      <c r="EY32" s="31"/>
      <c r="EZ32" s="31"/>
      <c r="FA32" s="31"/>
      <c r="FB32" s="31"/>
      <c r="FC32" s="74"/>
      <c r="FD32" s="74"/>
      <c r="FE32" s="31"/>
      <c r="FF32" s="31"/>
      <c r="FG32" s="31"/>
      <c r="FH32" s="31"/>
      <c r="FI32" s="31"/>
      <c r="FJ32" s="74"/>
      <c r="FK32" s="74"/>
      <c r="FL32" s="31"/>
      <c r="FM32" s="31"/>
      <c r="FN32" s="31"/>
      <c r="FO32" s="31"/>
      <c r="FP32" s="31"/>
      <c r="FQ32" s="74"/>
      <c r="FR32" s="74"/>
      <c r="FS32" s="31"/>
      <c r="FT32" s="31"/>
      <c r="FU32" s="31"/>
      <c r="FV32" s="31"/>
      <c r="FW32" s="31"/>
      <c r="FX32" s="74"/>
      <c r="FY32" s="74"/>
      <c r="FZ32" s="31"/>
      <c r="GA32" s="31"/>
      <c r="GB32" s="31"/>
      <c r="GC32" s="31"/>
      <c r="GD32" s="31"/>
      <c r="GE32" s="74"/>
      <c r="GF32" s="74"/>
      <c r="GG32" s="31"/>
      <c r="GH32" s="31"/>
      <c r="GI32" s="31"/>
      <c r="GJ32" s="31"/>
      <c r="GK32" s="31"/>
      <c r="GL32" s="74"/>
      <c r="GM32" s="74"/>
      <c r="GN32" s="31"/>
      <c r="GO32" s="31"/>
      <c r="GP32" s="31"/>
      <c r="GQ32" s="31"/>
      <c r="GR32" s="31"/>
      <c r="GS32" s="74"/>
      <c r="GT32" s="74"/>
      <c r="GU32" s="31"/>
      <c r="GV32" s="31"/>
      <c r="GW32" s="31"/>
      <c r="GX32" s="31"/>
      <c r="GY32" s="31"/>
      <c r="GZ32" s="74"/>
      <c r="HA32" s="74"/>
      <c r="HB32" s="31"/>
      <c r="HC32" s="31"/>
      <c r="HD32" s="31"/>
      <c r="HE32" s="31"/>
      <c r="HF32" s="31"/>
      <c r="HG32" s="74"/>
      <c r="HH32" s="74"/>
      <c r="HI32" s="31"/>
      <c r="HJ32" s="31"/>
      <c r="HK32" s="31"/>
      <c r="HL32" s="31"/>
      <c r="HM32" s="31"/>
      <c r="HN32" s="74"/>
      <c r="HO32" s="74"/>
      <c r="HP32" s="31"/>
      <c r="HQ32" s="31"/>
      <c r="HR32" s="31"/>
      <c r="HS32" s="31"/>
      <c r="HT32" s="31"/>
      <c r="HU32" s="74"/>
      <c r="HV32" s="74"/>
      <c r="HW32" s="31"/>
      <c r="HX32" s="31"/>
      <c r="HY32" s="31"/>
      <c r="HZ32" s="31"/>
      <c r="IA32" s="31"/>
      <c r="IB32" s="74"/>
      <c r="IC32" s="74"/>
      <c r="ID32" s="31"/>
      <c r="IE32" s="31"/>
      <c r="IF32" s="31"/>
      <c r="IG32" s="31"/>
      <c r="IH32" s="31"/>
      <c r="II32" s="74"/>
      <c r="IJ32" s="74"/>
      <c r="IK32" s="31"/>
      <c r="IL32" s="31"/>
      <c r="IM32" s="31"/>
      <c r="IN32" s="31"/>
      <c r="IO32" s="31"/>
      <c r="IP32" s="74"/>
      <c r="IQ32" s="74"/>
      <c r="IR32" s="31"/>
      <c r="IS32" s="31"/>
      <c r="IT32" s="31"/>
      <c r="IU32" s="31"/>
      <c r="IV32" s="31"/>
      <c r="IW32" s="74"/>
      <c r="IX32" s="74"/>
      <c r="IY32" s="31"/>
      <c r="IZ32" s="31"/>
      <c r="JA32" s="31"/>
      <c r="JB32" s="31"/>
      <c r="JC32" s="31"/>
      <c r="JD32" s="74"/>
      <c r="JE32" s="74"/>
      <c r="JF32" s="31"/>
      <c r="JG32" s="31"/>
      <c r="JH32" s="31"/>
      <c r="JI32" s="31"/>
      <c r="JJ32" s="31"/>
      <c r="JK32" s="74"/>
      <c r="JL32" s="74"/>
      <c r="JM32" s="31"/>
      <c r="JN32" s="31"/>
      <c r="JO32" s="31"/>
      <c r="JP32" s="31"/>
      <c r="JQ32" s="31"/>
      <c r="JR32" s="74"/>
      <c r="JS32" s="74"/>
      <c r="JT32" s="31"/>
      <c r="JU32" s="31"/>
      <c r="JV32" s="31"/>
      <c r="JW32" s="31"/>
      <c r="JX32" s="31"/>
      <c r="JY32" s="74"/>
      <c r="JZ32" s="74"/>
      <c r="KA32" s="31"/>
      <c r="KB32" s="31"/>
      <c r="KC32" s="31"/>
      <c r="KD32" s="31"/>
      <c r="KE32" s="31"/>
      <c r="KF32" s="74"/>
      <c r="KG32" s="74"/>
      <c r="KH32" s="31"/>
      <c r="KI32" s="31"/>
      <c r="KJ32" s="31"/>
      <c r="KK32" s="31"/>
      <c r="KL32" s="31"/>
      <c r="KM32" s="74"/>
      <c r="KN32" s="74"/>
      <c r="KO32" s="31"/>
      <c r="KP32" s="31"/>
      <c r="KQ32" s="31"/>
      <c r="KR32" s="31"/>
      <c r="KS32" s="31"/>
      <c r="KT32" s="74"/>
      <c r="KU32" s="74"/>
      <c r="KV32" s="31"/>
      <c r="KW32" s="31"/>
      <c r="KX32" s="31"/>
      <c r="KY32" s="31"/>
      <c r="KZ32" s="31"/>
      <c r="LA32" s="74"/>
      <c r="LB32" s="74"/>
      <c r="LC32" s="31"/>
      <c r="LD32" s="31"/>
      <c r="LE32" s="31"/>
      <c r="LF32" s="31"/>
      <c r="LG32" s="31"/>
      <c r="LH32" s="74"/>
      <c r="LI32" s="74"/>
      <c r="LJ32" s="31"/>
      <c r="LK32" s="31"/>
      <c r="LL32" s="31"/>
      <c r="LM32" s="31"/>
      <c r="LN32" s="31"/>
      <c r="LO32" s="74"/>
      <c r="LP32" s="74"/>
      <c r="LQ32" s="31"/>
      <c r="LR32" s="31"/>
      <c r="LS32" s="31"/>
      <c r="LT32" s="31"/>
      <c r="LU32" s="31"/>
      <c r="LV32" s="74"/>
      <c r="LW32" s="74"/>
      <c r="LX32" s="31"/>
      <c r="LY32" s="31"/>
      <c r="LZ32" s="31"/>
      <c r="MA32" s="31"/>
      <c r="MB32" s="31"/>
      <c r="MC32" s="74"/>
      <c r="MD32" s="74"/>
      <c r="ME32" s="31"/>
      <c r="MF32" s="31"/>
      <c r="MG32" s="31"/>
      <c r="MH32" s="31"/>
      <c r="MI32" s="31"/>
      <c r="MJ32" s="74"/>
      <c r="MK32" s="74"/>
      <c r="ML32" s="31"/>
      <c r="MM32" s="31"/>
      <c r="MN32" s="31"/>
      <c r="MO32" s="31"/>
      <c r="MP32" s="31"/>
      <c r="MQ32" s="74"/>
      <c r="MR32" s="74"/>
      <c r="MS32" s="31"/>
      <c r="MT32" s="31"/>
      <c r="MU32" s="31"/>
      <c r="MV32" s="31"/>
      <c r="MW32" s="31"/>
      <c r="MX32" s="74"/>
      <c r="MY32" s="74"/>
      <c r="MZ32" s="31"/>
      <c r="NA32" s="31"/>
      <c r="NB32" s="31"/>
      <c r="NC32" s="31"/>
      <c r="ND32" s="31"/>
      <c r="NE32" s="74"/>
      <c r="NF32" s="74"/>
      <c r="NG32" s="31"/>
      <c r="NH32" s="31"/>
      <c r="NI32" s="31"/>
      <c r="NJ32" s="31"/>
      <c r="NK32" s="31"/>
      <c r="NL32" s="74"/>
      <c r="NM32" s="74"/>
      <c r="NN32" s="31"/>
      <c r="NO32" s="31"/>
      <c r="NP32" s="31"/>
      <c r="NQ32" s="31"/>
      <c r="NR32" s="31"/>
      <c r="NS32" s="74"/>
      <c r="NT32" s="74"/>
    </row>
    <row r="33" spans="2:384" s="29" customFormat="1" ht="9" customHeight="1" outlineLevel="2" x14ac:dyDescent="0.2">
      <c r="B33" s="78">
        <v>1.01</v>
      </c>
      <c r="C33" s="35" t="s">
        <v>74</v>
      </c>
      <c r="D33" s="35" t="s">
        <v>50</v>
      </c>
      <c r="E33" s="75"/>
      <c r="F33" s="39"/>
      <c r="G33" s="75"/>
      <c r="H33" s="75"/>
      <c r="I33" s="40"/>
      <c r="J33" s="75"/>
      <c r="K33" s="35"/>
      <c r="L33" s="35"/>
      <c r="N33" s="31"/>
      <c r="O33" s="31"/>
      <c r="P33" s="31"/>
      <c r="Q33" s="31"/>
      <c r="R33" s="31"/>
      <c r="S33" s="74"/>
      <c r="T33" s="74"/>
      <c r="U33" s="31"/>
      <c r="V33" s="31"/>
      <c r="W33" s="31"/>
      <c r="X33" s="31"/>
      <c r="Y33" s="31"/>
      <c r="Z33" s="74"/>
      <c r="AA33" s="74"/>
      <c r="AB33" s="31"/>
      <c r="AC33" s="31"/>
      <c r="AD33" s="31"/>
      <c r="AE33" s="31"/>
      <c r="AF33" s="31"/>
      <c r="AG33" s="74"/>
      <c r="AH33" s="74"/>
      <c r="AI33" s="31"/>
      <c r="AJ33" s="31"/>
      <c r="AK33" s="31"/>
      <c r="AL33" s="31"/>
      <c r="AM33" s="31"/>
      <c r="AN33" s="74"/>
      <c r="AO33" s="74"/>
      <c r="AP33" s="31"/>
      <c r="AQ33" s="31"/>
      <c r="AR33" s="31"/>
      <c r="AS33" s="31"/>
      <c r="AT33" s="31"/>
      <c r="AU33" s="74"/>
      <c r="AV33" s="74"/>
      <c r="AW33" s="31"/>
      <c r="AX33" s="31"/>
      <c r="AY33" s="31"/>
      <c r="AZ33" s="31"/>
      <c r="BA33" s="31"/>
      <c r="BB33" s="74"/>
      <c r="BC33" s="74"/>
      <c r="BD33" s="31"/>
      <c r="BE33" s="31"/>
      <c r="BF33" s="31"/>
      <c r="BG33" s="31"/>
      <c r="BH33" s="31"/>
      <c r="BI33" s="74"/>
      <c r="BJ33" s="74"/>
      <c r="BK33" s="31"/>
      <c r="BL33" s="31"/>
      <c r="BM33" s="31"/>
      <c r="BN33" s="31"/>
      <c r="BO33" s="31"/>
      <c r="BP33" s="74"/>
      <c r="BQ33" s="74"/>
      <c r="BR33" s="31"/>
      <c r="BS33" s="31"/>
      <c r="BT33" s="31"/>
      <c r="BU33" s="31"/>
      <c r="BV33" s="31"/>
      <c r="BW33" s="74"/>
      <c r="BX33" s="74"/>
      <c r="BY33" s="31"/>
      <c r="BZ33" s="31"/>
      <c r="CA33" s="31"/>
      <c r="CB33" s="31"/>
      <c r="CC33" s="31"/>
      <c r="CD33" s="74"/>
      <c r="CE33" s="74"/>
      <c r="CF33" s="31"/>
      <c r="CG33" s="31"/>
      <c r="CH33" s="31"/>
      <c r="CI33" s="31"/>
      <c r="CJ33" s="31"/>
      <c r="CK33" s="74"/>
      <c r="CL33" s="74"/>
      <c r="CM33" s="31"/>
      <c r="CN33" s="31"/>
      <c r="CO33" s="31"/>
      <c r="CP33" s="31"/>
      <c r="CQ33" s="31"/>
      <c r="CR33" s="74"/>
      <c r="CS33" s="74"/>
      <c r="CT33" s="31"/>
      <c r="CU33" s="31"/>
      <c r="CV33" s="31"/>
      <c r="CW33" s="31"/>
      <c r="CX33" s="31"/>
      <c r="CY33" s="74"/>
      <c r="CZ33" s="74"/>
      <c r="DA33" s="31"/>
      <c r="DB33" s="31"/>
      <c r="DC33" s="31"/>
      <c r="DD33" s="31"/>
      <c r="DE33" s="31"/>
      <c r="DF33" s="74"/>
      <c r="DG33" s="74"/>
      <c r="DH33" s="31"/>
      <c r="DI33" s="31"/>
      <c r="DJ33" s="31"/>
      <c r="DK33" s="31"/>
      <c r="DL33" s="31"/>
      <c r="DM33" s="74"/>
      <c r="DN33" s="74"/>
      <c r="DO33" s="31"/>
      <c r="DP33" s="77"/>
      <c r="DQ33" s="31"/>
      <c r="DR33" s="31"/>
      <c r="DS33" s="31"/>
      <c r="DT33" s="74"/>
      <c r="DU33" s="74"/>
      <c r="DV33" s="31"/>
      <c r="DW33" s="31"/>
      <c r="DX33" s="31"/>
      <c r="DY33" s="31"/>
      <c r="DZ33" s="31"/>
      <c r="EA33" s="74"/>
      <c r="EB33" s="74"/>
      <c r="EC33" s="31"/>
      <c r="ED33" s="31"/>
      <c r="EE33" s="31"/>
      <c r="EF33" s="31"/>
      <c r="EG33" s="31"/>
      <c r="EH33" s="74"/>
      <c r="EI33" s="74"/>
      <c r="EJ33" s="31"/>
      <c r="EK33" s="31"/>
      <c r="EL33" s="31"/>
      <c r="EM33" s="31"/>
      <c r="EN33" s="31"/>
      <c r="EO33" s="74"/>
      <c r="EP33" s="74"/>
      <c r="EQ33" s="31"/>
      <c r="ER33" s="31"/>
      <c r="ES33" s="31"/>
      <c r="ET33" s="31"/>
      <c r="EU33" s="31"/>
      <c r="EV33" s="74"/>
      <c r="EW33" s="74"/>
      <c r="EX33" s="31"/>
      <c r="EY33" s="31"/>
      <c r="EZ33" s="31"/>
      <c r="FA33" s="31"/>
      <c r="FB33" s="31"/>
      <c r="FC33" s="74"/>
      <c r="FD33" s="74"/>
      <c r="FE33" s="31"/>
      <c r="FF33" s="31"/>
      <c r="FG33" s="31"/>
      <c r="FH33" s="31"/>
      <c r="FI33" s="31"/>
      <c r="FJ33" s="74"/>
      <c r="FK33" s="74"/>
      <c r="FL33" s="31"/>
      <c r="FM33" s="31"/>
      <c r="FN33" s="31"/>
      <c r="FO33" s="31"/>
      <c r="FP33" s="31"/>
      <c r="FQ33" s="74"/>
      <c r="FR33" s="74"/>
      <c r="FS33" s="31"/>
      <c r="FT33" s="31"/>
      <c r="FU33" s="31"/>
      <c r="FV33" s="31"/>
      <c r="FW33" s="31"/>
      <c r="FX33" s="74"/>
      <c r="FY33" s="74"/>
      <c r="FZ33" s="31"/>
      <c r="GA33" s="31"/>
      <c r="GB33" s="31"/>
      <c r="GC33" s="31"/>
      <c r="GD33" s="31"/>
      <c r="GE33" s="74"/>
      <c r="GF33" s="74"/>
      <c r="GG33" s="31"/>
      <c r="GH33" s="31"/>
      <c r="GI33" s="31"/>
      <c r="GJ33" s="31"/>
      <c r="GK33" s="31"/>
      <c r="GL33" s="74"/>
      <c r="GM33" s="74"/>
      <c r="GN33" s="31"/>
      <c r="GO33" s="31"/>
      <c r="GP33" s="31"/>
      <c r="GQ33" s="31"/>
      <c r="GR33" s="31"/>
      <c r="GS33" s="74"/>
      <c r="GT33" s="74"/>
      <c r="GU33" s="31"/>
      <c r="GV33" s="31"/>
      <c r="GW33" s="31"/>
      <c r="GX33" s="31"/>
      <c r="GY33" s="31"/>
      <c r="GZ33" s="74"/>
      <c r="HA33" s="74"/>
      <c r="HB33" s="31"/>
      <c r="HC33" s="31"/>
      <c r="HD33" s="31"/>
      <c r="HE33" s="31"/>
      <c r="HF33" s="31"/>
      <c r="HG33" s="74"/>
      <c r="HH33" s="74"/>
      <c r="HI33" s="31"/>
      <c r="HJ33" s="31"/>
      <c r="HK33" s="31"/>
      <c r="HL33" s="31"/>
      <c r="HM33" s="31"/>
      <c r="HN33" s="74"/>
      <c r="HO33" s="74"/>
      <c r="HP33" s="31"/>
      <c r="HQ33" s="31"/>
      <c r="HR33" s="31"/>
      <c r="HS33" s="31"/>
      <c r="HT33" s="31"/>
      <c r="HU33" s="74"/>
      <c r="HV33" s="74"/>
      <c r="HW33" s="31"/>
      <c r="HX33" s="31"/>
      <c r="HY33" s="31"/>
      <c r="HZ33" s="31"/>
      <c r="IA33" s="31"/>
      <c r="IB33" s="74"/>
      <c r="IC33" s="74"/>
      <c r="ID33" s="31"/>
      <c r="IE33" s="31"/>
      <c r="IF33" s="31"/>
      <c r="IG33" s="31"/>
      <c r="IH33" s="31"/>
      <c r="II33" s="74"/>
      <c r="IJ33" s="74"/>
      <c r="IK33" s="31"/>
      <c r="IL33" s="31"/>
      <c r="IM33" s="31"/>
      <c r="IN33" s="31"/>
      <c r="IO33" s="31"/>
      <c r="IP33" s="74"/>
      <c r="IQ33" s="74"/>
      <c r="IR33" s="31"/>
      <c r="IS33" s="31"/>
      <c r="IT33" s="31"/>
      <c r="IU33" s="31"/>
      <c r="IV33" s="31"/>
      <c r="IW33" s="74"/>
      <c r="IX33" s="74"/>
      <c r="IY33" s="31"/>
      <c r="IZ33" s="31"/>
      <c r="JA33" s="31"/>
      <c r="JB33" s="31"/>
      <c r="JC33" s="31"/>
      <c r="JD33" s="74"/>
      <c r="JE33" s="74"/>
      <c r="JF33" s="31"/>
      <c r="JG33" s="31"/>
      <c r="JH33" s="31"/>
      <c r="JI33" s="31"/>
      <c r="JJ33" s="31"/>
      <c r="JK33" s="74"/>
      <c r="JL33" s="74"/>
      <c r="JM33" s="31"/>
      <c r="JN33" s="31"/>
      <c r="JO33" s="31"/>
      <c r="JP33" s="31"/>
      <c r="JQ33" s="31"/>
      <c r="JR33" s="74"/>
      <c r="JS33" s="74"/>
      <c r="JT33" s="31"/>
      <c r="JU33" s="31"/>
      <c r="JV33" s="31"/>
      <c r="JW33" s="31"/>
      <c r="JX33" s="31"/>
      <c r="JY33" s="74"/>
      <c r="JZ33" s="74"/>
      <c r="KA33" s="31"/>
      <c r="KB33" s="31"/>
      <c r="KC33" s="31"/>
      <c r="KD33" s="31"/>
      <c r="KE33" s="31"/>
      <c r="KF33" s="74"/>
      <c r="KG33" s="74"/>
      <c r="KH33" s="31"/>
      <c r="KI33" s="31"/>
      <c r="KJ33" s="31"/>
      <c r="KK33" s="31"/>
      <c r="KL33" s="31"/>
      <c r="KM33" s="74"/>
      <c r="KN33" s="74"/>
      <c r="KO33" s="31"/>
      <c r="KP33" s="31"/>
      <c r="KQ33" s="31"/>
      <c r="KR33" s="31"/>
      <c r="KS33" s="31"/>
      <c r="KT33" s="74"/>
      <c r="KU33" s="74"/>
      <c r="KV33" s="31"/>
      <c r="KW33" s="31"/>
      <c r="KX33" s="31"/>
      <c r="KY33" s="31"/>
      <c r="KZ33" s="31"/>
      <c r="LA33" s="74"/>
      <c r="LB33" s="74"/>
      <c r="LC33" s="31"/>
      <c r="LD33" s="31"/>
      <c r="LE33" s="31"/>
      <c r="LF33" s="31"/>
      <c r="LG33" s="31"/>
      <c r="LH33" s="74"/>
      <c r="LI33" s="74"/>
      <c r="LJ33" s="31"/>
      <c r="LK33" s="31"/>
      <c r="LL33" s="31"/>
      <c r="LM33" s="31"/>
      <c r="LN33" s="31"/>
      <c r="LO33" s="74"/>
      <c r="LP33" s="74"/>
      <c r="LQ33" s="31"/>
      <c r="LR33" s="31"/>
      <c r="LS33" s="31"/>
      <c r="LT33" s="31"/>
      <c r="LU33" s="31"/>
      <c r="LV33" s="74"/>
      <c r="LW33" s="74"/>
      <c r="LX33" s="31"/>
      <c r="LY33" s="31"/>
      <c r="LZ33" s="31"/>
      <c r="MA33" s="31"/>
      <c r="MB33" s="31"/>
      <c r="MC33" s="74"/>
      <c r="MD33" s="74"/>
      <c r="ME33" s="31"/>
      <c r="MF33" s="31"/>
      <c r="MG33" s="31"/>
      <c r="MH33" s="31"/>
      <c r="MI33" s="31"/>
      <c r="MJ33" s="74"/>
      <c r="MK33" s="74"/>
      <c r="ML33" s="31"/>
      <c r="MM33" s="31"/>
      <c r="MN33" s="31"/>
      <c r="MO33" s="31"/>
      <c r="MP33" s="31"/>
      <c r="MQ33" s="74"/>
      <c r="MR33" s="74"/>
      <c r="MS33" s="31"/>
      <c r="MT33" s="31"/>
      <c r="MU33" s="31"/>
      <c r="MV33" s="31"/>
      <c r="MW33" s="31"/>
      <c r="MX33" s="74"/>
      <c r="MY33" s="74"/>
      <c r="MZ33" s="31"/>
      <c r="NA33" s="31"/>
      <c r="NB33" s="31"/>
      <c r="NC33" s="31"/>
      <c r="ND33" s="31"/>
      <c r="NE33" s="74"/>
      <c r="NF33" s="74"/>
      <c r="NG33" s="31"/>
      <c r="NH33" s="31"/>
      <c r="NI33" s="31"/>
      <c r="NJ33" s="31"/>
      <c r="NK33" s="31"/>
      <c r="NL33" s="74"/>
      <c r="NM33" s="74"/>
      <c r="NN33" s="31"/>
      <c r="NO33" s="31"/>
      <c r="NP33" s="31"/>
      <c r="NQ33" s="31"/>
      <c r="NR33" s="31"/>
      <c r="NS33" s="74"/>
      <c r="NT33" s="74"/>
    </row>
    <row r="34" spans="2:384" s="29" customFormat="1" ht="9" customHeight="1" outlineLevel="2" x14ac:dyDescent="0.2">
      <c r="B34" s="78">
        <v>1.02</v>
      </c>
      <c r="C34" s="35" t="s">
        <v>71</v>
      </c>
      <c r="D34" s="35"/>
      <c r="E34" s="75"/>
      <c r="F34" s="39"/>
      <c r="G34" s="75"/>
      <c r="H34" s="75"/>
      <c r="I34" s="40"/>
      <c r="J34" s="75"/>
      <c r="K34" s="35"/>
      <c r="L34" s="35"/>
      <c r="N34" s="31"/>
      <c r="O34" s="31"/>
      <c r="P34" s="31"/>
      <c r="Q34" s="31"/>
      <c r="R34" s="31"/>
      <c r="S34" s="74"/>
      <c r="T34" s="74"/>
      <c r="U34" s="31"/>
      <c r="V34" s="31"/>
      <c r="W34" s="31"/>
      <c r="X34" s="31"/>
      <c r="Y34" s="31"/>
      <c r="Z34" s="74"/>
      <c r="AA34" s="74"/>
      <c r="AB34" s="31"/>
      <c r="AC34" s="31"/>
      <c r="AD34" s="31"/>
      <c r="AE34" s="31"/>
      <c r="AF34" s="31"/>
      <c r="AG34" s="74"/>
      <c r="AH34" s="74"/>
      <c r="AI34" s="31"/>
      <c r="AJ34" s="31"/>
      <c r="AK34" s="31"/>
      <c r="AL34" s="31"/>
      <c r="AM34" s="31"/>
      <c r="AN34" s="74"/>
      <c r="AO34" s="74"/>
      <c r="AP34" s="31"/>
      <c r="AQ34" s="31"/>
      <c r="AR34" s="31"/>
      <c r="AS34" s="31"/>
      <c r="AT34" s="31"/>
      <c r="AU34" s="74"/>
      <c r="AV34" s="74"/>
      <c r="AW34" s="31"/>
      <c r="AX34" s="31"/>
      <c r="AY34" s="31"/>
      <c r="AZ34" s="31"/>
      <c r="BA34" s="31"/>
      <c r="BB34" s="74"/>
      <c r="BC34" s="74"/>
      <c r="BD34" s="31"/>
      <c r="BE34" s="31"/>
      <c r="BF34" s="31"/>
      <c r="BG34" s="31"/>
      <c r="BH34" s="31"/>
      <c r="BI34" s="74"/>
      <c r="BJ34" s="74"/>
      <c r="BK34" s="31"/>
      <c r="BL34" s="31"/>
      <c r="BM34" s="31"/>
      <c r="BN34" s="31"/>
      <c r="BO34" s="31"/>
      <c r="BP34" s="74"/>
      <c r="BQ34" s="74"/>
      <c r="BR34" s="31"/>
      <c r="BS34" s="31"/>
      <c r="BT34" s="31"/>
      <c r="BU34" s="31"/>
      <c r="BV34" s="31"/>
      <c r="BW34" s="74"/>
      <c r="BX34" s="74"/>
      <c r="BY34" s="31"/>
      <c r="BZ34" s="31"/>
      <c r="CA34" s="31"/>
      <c r="CB34" s="31"/>
      <c r="CC34" s="31"/>
      <c r="CD34" s="74"/>
      <c r="CE34" s="74"/>
      <c r="CF34" s="31"/>
      <c r="CG34" s="31"/>
      <c r="CH34" s="31"/>
      <c r="CI34" s="31"/>
      <c r="CJ34" s="31"/>
      <c r="CK34" s="74"/>
      <c r="CL34" s="74"/>
      <c r="CM34" s="31"/>
      <c r="CN34" s="31"/>
      <c r="CO34" s="31"/>
      <c r="CP34" s="31"/>
      <c r="CQ34" s="31"/>
      <c r="CR34" s="74"/>
      <c r="CS34" s="74"/>
      <c r="CT34" s="31"/>
      <c r="CU34" s="31"/>
      <c r="CV34" s="31"/>
      <c r="CW34" s="31"/>
      <c r="CX34" s="31"/>
      <c r="CY34" s="74"/>
      <c r="CZ34" s="74"/>
      <c r="DA34" s="31"/>
      <c r="DB34" s="31"/>
      <c r="DC34" s="31"/>
      <c r="DD34" s="31"/>
      <c r="DE34" s="31"/>
      <c r="DF34" s="74"/>
      <c r="DG34" s="74"/>
      <c r="DH34" s="31"/>
      <c r="DI34" s="31"/>
      <c r="DJ34" s="31"/>
      <c r="DK34" s="31"/>
      <c r="DL34" s="31"/>
      <c r="DM34" s="74"/>
      <c r="DN34" s="74"/>
      <c r="DO34" s="31"/>
      <c r="DP34" s="77"/>
      <c r="DQ34" s="31"/>
      <c r="DR34" s="31"/>
      <c r="DS34" s="31"/>
      <c r="DT34" s="74"/>
      <c r="DU34" s="74"/>
      <c r="DV34" s="31"/>
      <c r="DW34" s="31"/>
      <c r="DX34" s="31"/>
      <c r="DY34" s="31"/>
      <c r="DZ34" s="31"/>
      <c r="EA34" s="74"/>
      <c r="EB34" s="74"/>
      <c r="EC34" s="31"/>
      <c r="ED34" s="31"/>
      <c r="EE34" s="31"/>
      <c r="EF34" s="31"/>
      <c r="EG34" s="31"/>
      <c r="EH34" s="74"/>
      <c r="EI34" s="74"/>
      <c r="EJ34" s="31"/>
      <c r="EK34" s="31"/>
      <c r="EL34" s="31"/>
      <c r="EM34" s="31"/>
      <c r="EN34" s="31"/>
      <c r="EO34" s="74"/>
      <c r="EP34" s="74"/>
      <c r="EQ34" s="31"/>
      <c r="ER34" s="31"/>
      <c r="ES34" s="31"/>
      <c r="ET34" s="31"/>
      <c r="EU34" s="31"/>
      <c r="EV34" s="74"/>
      <c r="EW34" s="74"/>
      <c r="EX34" s="31"/>
      <c r="EY34" s="31"/>
      <c r="EZ34" s="31"/>
      <c r="FA34" s="31"/>
      <c r="FB34" s="31"/>
      <c r="FC34" s="74"/>
      <c r="FD34" s="74"/>
      <c r="FE34" s="31"/>
      <c r="FF34" s="31"/>
      <c r="FG34" s="31"/>
      <c r="FH34" s="31"/>
      <c r="FI34" s="31"/>
      <c r="FJ34" s="74"/>
      <c r="FK34" s="74"/>
      <c r="FL34" s="31"/>
      <c r="FM34" s="31"/>
      <c r="FN34" s="31"/>
      <c r="FO34" s="31"/>
      <c r="FP34" s="31"/>
      <c r="FQ34" s="74"/>
      <c r="FR34" s="74"/>
      <c r="FS34" s="31"/>
      <c r="FT34" s="31"/>
      <c r="FU34" s="31"/>
      <c r="FV34" s="31"/>
      <c r="FW34" s="31"/>
      <c r="FX34" s="74"/>
      <c r="FY34" s="74"/>
      <c r="FZ34" s="31"/>
      <c r="GA34" s="31"/>
      <c r="GB34" s="31"/>
      <c r="GC34" s="31"/>
      <c r="GD34" s="31"/>
      <c r="GE34" s="74"/>
      <c r="GF34" s="74"/>
      <c r="GG34" s="31"/>
      <c r="GH34" s="31"/>
      <c r="GI34" s="31"/>
      <c r="GJ34" s="31"/>
      <c r="GK34" s="31"/>
      <c r="GL34" s="74"/>
      <c r="GM34" s="74"/>
      <c r="GN34" s="31"/>
      <c r="GO34" s="31"/>
      <c r="GP34" s="31"/>
      <c r="GQ34" s="31"/>
      <c r="GR34" s="31"/>
      <c r="GS34" s="74"/>
      <c r="GT34" s="74"/>
      <c r="GU34" s="31"/>
      <c r="GV34" s="31"/>
      <c r="GW34" s="31"/>
      <c r="GX34" s="31"/>
      <c r="GY34" s="31"/>
      <c r="GZ34" s="74"/>
      <c r="HA34" s="74"/>
      <c r="HB34" s="31"/>
      <c r="HC34" s="31"/>
      <c r="HD34" s="31"/>
      <c r="HE34" s="31"/>
      <c r="HF34" s="31"/>
      <c r="HG34" s="74"/>
      <c r="HH34" s="74"/>
      <c r="HI34" s="31"/>
      <c r="HJ34" s="31"/>
      <c r="HK34" s="31"/>
      <c r="HL34" s="31"/>
      <c r="HM34" s="31"/>
      <c r="HN34" s="74"/>
      <c r="HO34" s="74"/>
      <c r="HP34" s="31"/>
      <c r="HQ34" s="31"/>
      <c r="HR34" s="31"/>
      <c r="HS34" s="31"/>
      <c r="HT34" s="31"/>
      <c r="HU34" s="74"/>
      <c r="HV34" s="74"/>
      <c r="HW34" s="31"/>
      <c r="HX34" s="31"/>
      <c r="HY34" s="31"/>
      <c r="HZ34" s="31"/>
      <c r="IA34" s="31"/>
      <c r="IB34" s="74"/>
      <c r="IC34" s="74"/>
      <c r="ID34" s="31"/>
      <c r="IE34" s="31"/>
      <c r="IF34" s="31"/>
      <c r="IG34" s="31"/>
      <c r="IH34" s="31"/>
      <c r="II34" s="74"/>
      <c r="IJ34" s="74"/>
      <c r="IK34" s="31"/>
      <c r="IL34" s="31"/>
      <c r="IM34" s="31"/>
      <c r="IN34" s="31"/>
      <c r="IO34" s="31"/>
      <c r="IP34" s="74"/>
      <c r="IQ34" s="74"/>
      <c r="IR34" s="31"/>
      <c r="IS34" s="31"/>
      <c r="IT34" s="31"/>
      <c r="IU34" s="31"/>
      <c r="IV34" s="31"/>
      <c r="IW34" s="74"/>
      <c r="IX34" s="74"/>
      <c r="IY34" s="31"/>
      <c r="IZ34" s="31"/>
      <c r="JA34" s="31"/>
      <c r="JB34" s="31"/>
      <c r="JC34" s="31"/>
      <c r="JD34" s="74"/>
      <c r="JE34" s="74"/>
      <c r="JF34" s="31"/>
      <c r="JG34" s="31"/>
      <c r="JH34" s="31"/>
      <c r="JI34" s="31"/>
      <c r="JJ34" s="31"/>
      <c r="JK34" s="74"/>
      <c r="JL34" s="74"/>
      <c r="JM34" s="31"/>
      <c r="JN34" s="31"/>
      <c r="JO34" s="31"/>
      <c r="JP34" s="31"/>
      <c r="JQ34" s="31"/>
      <c r="JR34" s="74"/>
      <c r="JS34" s="74"/>
      <c r="JT34" s="31"/>
      <c r="JU34" s="31"/>
      <c r="JV34" s="31"/>
      <c r="JW34" s="31"/>
      <c r="JX34" s="31"/>
      <c r="JY34" s="74"/>
      <c r="JZ34" s="74"/>
      <c r="KA34" s="31"/>
      <c r="KB34" s="31"/>
      <c r="KC34" s="31"/>
      <c r="KD34" s="31"/>
      <c r="KE34" s="31"/>
      <c r="KF34" s="74"/>
      <c r="KG34" s="74"/>
      <c r="KH34" s="31"/>
      <c r="KI34" s="31"/>
      <c r="KJ34" s="31"/>
      <c r="KK34" s="31"/>
      <c r="KL34" s="31"/>
      <c r="KM34" s="74"/>
      <c r="KN34" s="74"/>
      <c r="KO34" s="31"/>
      <c r="KP34" s="31"/>
      <c r="KQ34" s="31"/>
      <c r="KR34" s="31"/>
      <c r="KS34" s="31"/>
      <c r="KT34" s="74"/>
      <c r="KU34" s="74"/>
      <c r="KV34" s="31"/>
      <c r="KW34" s="31"/>
      <c r="KX34" s="31"/>
      <c r="KY34" s="31"/>
      <c r="KZ34" s="31"/>
      <c r="LA34" s="74"/>
      <c r="LB34" s="74"/>
      <c r="LC34" s="31"/>
      <c r="LD34" s="31"/>
      <c r="LE34" s="31"/>
      <c r="LF34" s="31"/>
      <c r="LG34" s="31"/>
      <c r="LH34" s="74"/>
      <c r="LI34" s="74"/>
      <c r="LJ34" s="31"/>
      <c r="LK34" s="31"/>
      <c r="LL34" s="31"/>
      <c r="LM34" s="31"/>
      <c r="LN34" s="31"/>
      <c r="LO34" s="74"/>
      <c r="LP34" s="74"/>
      <c r="LQ34" s="31"/>
      <c r="LR34" s="31"/>
      <c r="LS34" s="31"/>
      <c r="LT34" s="31"/>
      <c r="LU34" s="31"/>
      <c r="LV34" s="74"/>
      <c r="LW34" s="74"/>
      <c r="LX34" s="31"/>
      <c r="LY34" s="31"/>
      <c r="LZ34" s="31"/>
      <c r="MA34" s="31"/>
      <c r="MB34" s="31"/>
      <c r="MC34" s="74"/>
      <c r="MD34" s="74"/>
      <c r="ME34" s="31"/>
      <c r="MF34" s="31"/>
      <c r="MG34" s="31"/>
      <c r="MH34" s="31"/>
      <c r="MI34" s="31"/>
      <c r="MJ34" s="74"/>
      <c r="MK34" s="74"/>
      <c r="ML34" s="31"/>
      <c r="MM34" s="31"/>
      <c r="MN34" s="31"/>
      <c r="MO34" s="31"/>
      <c r="MP34" s="31"/>
      <c r="MQ34" s="74"/>
      <c r="MR34" s="74"/>
      <c r="MS34" s="31"/>
      <c r="MT34" s="31"/>
      <c r="MU34" s="31"/>
      <c r="MV34" s="31"/>
      <c r="MW34" s="31"/>
      <c r="MX34" s="74"/>
      <c r="MY34" s="74"/>
      <c r="MZ34" s="31"/>
      <c r="NA34" s="31"/>
      <c r="NB34" s="31"/>
      <c r="NC34" s="31"/>
      <c r="ND34" s="31"/>
      <c r="NE34" s="74"/>
      <c r="NF34" s="74"/>
      <c r="NG34" s="31"/>
      <c r="NH34" s="31"/>
      <c r="NI34" s="31"/>
      <c r="NJ34" s="31"/>
      <c r="NK34" s="31"/>
      <c r="NL34" s="74"/>
      <c r="NM34" s="74"/>
      <c r="NN34" s="31"/>
      <c r="NO34" s="31"/>
      <c r="NP34" s="31"/>
      <c r="NQ34" s="31"/>
      <c r="NR34" s="31"/>
      <c r="NS34" s="74"/>
      <c r="NT34" s="74"/>
    </row>
    <row r="35" spans="2:384" s="29" customFormat="1" ht="9" customHeight="1" outlineLevel="2" x14ac:dyDescent="0.2">
      <c r="B35" s="78">
        <v>1.03</v>
      </c>
      <c r="C35" s="35" t="s">
        <v>76</v>
      </c>
      <c r="D35" s="35"/>
      <c r="E35" s="75"/>
      <c r="F35" s="39"/>
      <c r="G35" s="75"/>
      <c r="H35" s="75"/>
      <c r="I35" s="40"/>
      <c r="J35" s="75"/>
      <c r="K35" s="35"/>
      <c r="L35" s="35"/>
      <c r="N35" s="31"/>
      <c r="O35" s="31"/>
      <c r="P35" s="31"/>
      <c r="Q35" s="31"/>
      <c r="R35" s="31"/>
      <c r="S35" s="74"/>
      <c r="T35" s="74"/>
      <c r="U35" s="31"/>
      <c r="V35" s="31"/>
      <c r="W35" s="31"/>
      <c r="X35" s="31"/>
      <c r="Y35" s="31"/>
      <c r="Z35" s="74"/>
      <c r="AA35" s="74"/>
      <c r="AB35" s="31"/>
      <c r="AC35" s="31"/>
      <c r="AD35" s="31"/>
      <c r="AE35" s="31"/>
      <c r="AF35" s="31"/>
      <c r="AG35" s="74"/>
      <c r="AH35" s="74"/>
      <c r="AI35" s="31"/>
      <c r="AJ35" s="31"/>
      <c r="AK35" s="31"/>
      <c r="AL35" s="31"/>
      <c r="AM35" s="31"/>
      <c r="AN35" s="74"/>
      <c r="AO35" s="74"/>
      <c r="AP35" s="31"/>
      <c r="AQ35" s="31"/>
      <c r="AR35" s="31"/>
      <c r="AS35" s="31"/>
      <c r="AT35" s="31"/>
      <c r="AU35" s="74"/>
      <c r="AV35" s="74"/>
      <c r="AW35" s="31"/>
      <c r="AX35" s="31"/>
      <c r="AY35" s="31"/>
      <c r="AZ35" s="31"/>
      <c r="BA35" s="31"/>
      <c r="BB35" s="74"/>
      <c r="BC35" s="74"/>
      <c r="BD35" s="31"/>
      <c r="BE35" s="31"/>
      <c r="BF35" s="31"/>
      <c r="BG35" s="31"/>
      <c r="BH35" s="31"/>
      <c r="BI35" s="74"/>
      <c r="BJ35" s="74"/>
      <c r="BK35" s="31"/>
      <c r="BL35" s="31"/>
      <c r="BM35" s="31"/>
      <c r="BN35" s="31"/>
      <c r="BO35" s="31"/>
      <c r="BP35" s="74"/>
      <c r="BQ35" s="74"/>
      <c r="BR35" s="31"/>
      <c r="BS35" s="31"/>
      <c r="BT35" s="31"/>
      <c r="BU35" s="31"/>
      <c r="BV35" s="31"/>
      <c r="BW35" s="74"/>
      <c r="BX35" s="74"/>
      <c r="BY35" s="31"/>
      <c r="BZ35" s="31"/>
      <c r="CA35" s="31"/>
      <c r="CB35" s="31"/>
      <c r="CC35" s="31"/>
      <c r="CD35" s="74"/>
      <c r="CE35" s="74"/>
      <c r="CF35" s="31"/>
      <c r="CG35" s="31"/>
      <c r="CH35" s="31"/>
      <c r="CI35" s="31"/>
      <c r="CJ35" s="31"/>
      <c r="CK35" s="74"/>
      <c r="CL35" s="74"/>
      <c r="CM35" s="31"/>
      <c r="CN35" s="31"/>
      <c r="CO35" s="31"/>
      <c r="CP35" s="31"/>
      <c r="CQ35" s="31"/>
      <c r="CR35" s="74"/>
      <c r="CS35" s="74"/>
      <c r="CT35" s="31"/>
      <c r="CU35" s="31"/>
      <c r="CV35" s="31"/>
      <c r="CW35" s="31"/>
      <c r="CX35" s="31"/>
      <c r="CY35" s="74"/>
      <c r="CZ35" s="74"/>
      <c r="DA35" s="31"/>
      <c r="DB35" s="31"/>
      <c r="DC35" s="31"/>
      <c r="DD35" s="31"/>
      <c r="DE35" s="31"/>
      <c r="DF35" s="74"/>
      <c r="DG35" s="74"/>
      <c r="DH35" s="31"/>
      <c r="DI35" s="31"/>
      <c r="DJ35" s="31"/>
      <c r="DK35" s="31"/>
      <c r="DL35" s="31"/>
      <c r="DM35" s="74"/>
      <c r="DN35" s="74"/>
      <c r="DO35" s="31"/>
      <c r="DP35" s="77"/>
      <c r="DQ35" s="31"/>
      <c r="DR35" s="31"/>
      <c r="DS35" s="31"/>
      <c r="DT35" s="74"/>
      <c r="DU35" s="74"/>
      <c r="DV35" s="31"/>
      <c r="DW35" s="31"/>
      <c r="DX35" s="31"/>
      <c r="DY35" s="31"/>
      <c r="DZ35" s="31"/>
      <c r="EA35" s="74"/>
      <c r="EB35" s="74"/>
      <c r="EC35" s="31"/>
      <c r="ED35" s="31"/>
      <c r="EE35" s="31"/>
      <c r="EF35" s="31"/>
      <c r="EG35" s="31"/>
      <c r="EH35" s="74"/>
      <c r="EI35" s="74"/>
      <c r="EJ35" s="31"/>
      <c r="EK35" s="31"/>
      <c r="EL35" s="31"/>
      <c r="EM35" s="31"/>
      <c r="EN35" s="31"/>
      <c r="EO35" s="74"/>
      <c r="EP35" s="74"/>
      <c r="EQ35" s="31"/>
      <c r="ER35" s="31"/>
      <c r="ES35" s="31"/>
      <c r="ET35" s="31"/>
      <c r="EU35" s="31"/>
      <c r="EV35" s="74"/>
      <c r="EW35" s="74"/>
      <c r="EX35" s="31"/>
      <c r="EY35" s="31"/>
      <c r="EZ35" s="31"/>
      <c r="FA35" s="31"/>
      <c r="FB35" s="31"/>
      <c r="FC35" s="74"/>
      <c r="FD35" s="74"/>
      <c r="FE35" s="31"/>
      <c r="FF35" s="31"/>
      <c r="FG35" s="31"/>
      <c r="FH35" s="31"/>
      <c r="FI35" s="31"/>
      <c r="FJ35" s="74"/>
      <c r="FK35" s="74"/>
      <c r="FL35" s="31"/>
      <c r="FM35" s="31"/>
      <c r="FN35" s="31"/>
      <c r="FO35" s="31"/>
      <c r="FP35" s="31"/>
      <c r="FQ35" s="74"/>
      <c r="FR35" s="74"/>
      <c r="FS35" s="31"/>
      <c r="FT35" s="31"/>
      <c r="FU35" s="31"/>
      <c r="FV35" s="31"/>
      <c r="FW35" s="31"/>
      <c r="FX35" s="74"/>
      <c r="FY35" s="74"/>
      <c r="FZ35" s="31"/>
      <c r="GA35" s="31"/>
      <c r="GB35" s="31"/>
      <c r="GC35" s="31"/>
      <c r="GD35" s="31"/>
      <c r="GE35" s="74"/>
      <c r="GF35" s="74"/>
      <c r="GG35" s="31"/>
      <c r="GH35" s="31"/>
      <c r="GI35" s="31"/>
      <c r="GJ35" s="31"/>
      <c r="GK35" s="31"/>
      <c r="GL35" s="74"/>
      <c r="GM35" s="74"/>
      <c r="GN35" s="31"/>
      <c r="GO35" s="31"/>
      <c r="GP35" s="31"/>
      <c r="GQ35" s="31"/>
      <c r="GR35" s="31"/>
      <c r="GS35" s="74"/>
      <c r="GT35" s="74"/>
      <c r="GU35" s="31"/>
      <c r="GV35" s="31"/>
      <c r="GW35" s="31"/>
      <c r="GX35" s="31"/>
      <c r="GY35" s="31"/>
      <c r="GZ35" s="74"/>
      <c r="HA35" s="74"/>
      <c r="HB35" s="31"/>
      <c r="HC35" s="31"/>
      <c r="HD35" s="31"/>
      <c r="HE35" s="31"/>
      <c r="HF35" s="31"/>
      <c r="HG35" s="74"/>
      <c r="HH35" s="74"/>
      <c r="HI35" s="31"/>
      <c r="HJ35" s="31"/>
      <c r="HK35" s="31"/>
      <c r="HL35" s="31"/>
      <c r="HM35" s="31"/>
      <c r="HN35" s="74"/>
      <c r="HO35" s="74"/>
      <c r="HP35" s="31"/>
      <c r="HQ35" s="31"/>
      <c r="HR35" s="31"/>
      <c r="HS35" s="31"/>
      <c r="HT35" s="31"/>
      <c r="HU35" s="74"/>
      <c r="HV35" s="74"/>
      <c r="HW35" s="31"/>
      <c r="HX35" s="31"/>
      <c r="HY35" s="31"/>
      <c r="HZ35" s="31"/>
      <c r="IA35" s="31"/>
      <c r="IB35" s="74"/>
      <c r="IC35" s="74"/>
      <c r="ID35" s="31"/>
      <c r="IE35" s="31"/>
      <c r="IF35" s="31"/>
      <c r="IG35" s="31"/>
      <c r="IH35" s="31"/>
      <c r="II35" s="74"/>
      <c r="IJ35" s="74"/>
      <c r="IK35" s="31"/>
      <c r="IL35" s="31"/>
      <c r="IM35" s="31"/>
      <c r="IN35" s="31"/>
      <c r="IO35" s="31"/>
      <c r="IP35" s="74"/>
      <c r="IQ35" s="74"/>
      <c r="IR35" s="31"/>
      <c r="IS35" s="31"/>
      <c r="IT35" s="31"/>
      <c r="IU35" s="31"/>
      <c r="IV35" s="31"/>
      <c r="IW35" s="74"/>
      <c r="IX35" s="74"/>
      <c r="IY35" s="31"/>
      <c r="IZ35" s="31"/>
      <c r="JA35" s="31"/>
      <c r="JB35" s="31"/>
      <c r="JC35" s="31"/>
      <c r="JD35" s="74"/>
      <c r="JE35" s="74"/>
      <c r="JF35" s="31"/>
      <c r="JG35" s="31"/>
      <c r="JH35" s="31"/>
      <c r="JI35" s="31"/>
      <c r="JJ35" s="31"/>
      <c r="JK35" s="74"/>
      <c r="JL35" s="74"/>
      <c r="JM35" s="31"/>
      <c r="JN35" s="31"/>
      <c r="JO35" s="31"/>
      <c r="JP35" s="31"/>
      <c r="JQ35" s="31"/>
      <c r="JR35" s="74"/>
      <c r="JS35" s="74"/>
      <c r="JT35" s="31"/>
      <c r="JU35" s="31"/>
      <c r="JV35" s="31"/>
      <c r="JW35" s="31"/>
      <c r="JX35" s="31"/>
      <c r="JY35" s="74"/>
      <c r="JZ35" s="74"/>
      <c r="KA35" s="31"/>
      <c r="KB35" s="31"/>
      <c r="KC35" s="31"/>
      <c r="KD35" s="31"/>
      <c r="KE35" s="31"/>
      <c r="KF35" s="74"/>
      <c r="KG35" s="74"/>
      <c r="KH35" s="31"/>
      <c r="KI35" s="31"/>
      <c r="KJ35" s="31"/>
      <c r="KK35" s="31"/>
      <c r="KL35" s="31"/>
      <c r="KM35" s="74"/>
      <c r="KN35" s="74"/>
      <c r="KO35" s="31"/>
      <c r="KP35" s="31"/>
      <c r="KQ35" s="31"/>
      <c r="KR35" s="31"/>
      <c r="KS35" s="31"/>
      <c r="KT35" s="74"/>
      <c r="KU35" s="74"/>
      <c r="KV35" s="31"/>
      <c r="KW35" s="31"/>
      <c r="KX35" s="31"/>
      <c r="KY35" s="31"/>
      <c r="KZ35" s="31"/>
      <c r="LA35" s="74"/>
      <c r="LB35" s="74"/>
      <c r="LC35" s="31"/>
      <c r="LD35" s="31"/>
      <c r="LE35" s="31"/>
      <c r="LF35" s="31"/>
      <c r="LG35" s="31"/>
      <c r="LH35" s="74"/>
      <c r="LI35" s="74"/>
      <c r="LJ35" s="31"/>
      <c r="LK35" s="31"/>
      <c r="LL35" s="31"/>
      <c r="LM35" s="31"/>
      <c r="LN35" s="31"/>
      <c r="LO35" s="74"/>
      <c r="LP35" s="74"/>
      <c r="LQ35" s="31"/>
      <c r="LR35" s="31"/>
      <c r="LS35" s="31"/>
      <c r="LT35" s="31"/>
      <c r="LU35" s="31"/>
      <c r="LV35" s="74"/>
      <c r="LW35" s="74"/>
      <c r="LX35" s="31"/>
      <c r="LY35" s="31"/>
      <c r="LZ35" s="31"/>
      <c r="MA35" s="31"/>
      <c r="MB35" s="31"/>
      <c r="MC35" s="74"/>
      <c r="MD35" s="74"/>
      <c r="ME35" s="31"/>
      <c r="MF35" s="31"/>
      <c r="MG35" s="31"/>
      <c r="MH35" s="31"/>
      <c r="MI35" s="31"/>
      <c r="MJ35" s="74"/>
      <c r="MK35" s="74"/>
      <c r="ML35" s="31"/>
      <c r="MM35" s="31"/>
      <c r="MN35" s="31"/>
      <c r="MO35" s="31"/>
      <c r="MP35" s="31"/>
      <c r="MQ35" s="74"/>
      <c r="MR35" s="74"/>
      <c r="MS35" s="31"/>
      <c r="MT35" s="31"/>
      <c r="MU35" s="31"/>
      <c r="MV35" s="31"/>
      <c r="MW35" s="31"/>
      <c r="MX35" s="74"/>
      <c r="MY35" s="74"/>
      <c r="MZ35" s="31"/>
      <c r="NA35" s="31"/>
      <c r="NB35" s="31"/>
      <c r="NC35" s="31"/>
      <c r="ND35" s="31"/>
      <c r="NE35" s="74"/>
      <c r="NF35" s="74"/>
      <c r="NG35" s="31"/>
      <c r="NH35" s="31"/>
      <c r="NI35" s="31"/>
      <c r="NJ35" s="31"/>
      <c r="NK35" s="31"/>
      <c r="NL35" s="74"/>
      <c r="NM35" s="74"/>
      <c r="NN35" s="31"/>
      <c r="NO35" s="31"/>
      <c r="NP35" s="31"/>
      <c r="NQ35" s="31"/>
      <c r="NR35" s="31"/>
      <c r="NS35" s="74"/>
      <c r="NT35" s="74"/>
    </row>
    <row r="36" spans="2:384" s="29" customFormat="1" ht="9" customHeight="1" outlineLevel="2" x14ac:dyDescent="0.2">
      <c r="B36" s="78">
        <v>1.04</v>
      </c>
      <c r="C36" s="35" t="s">
        <v>78</v>
      </c>
      <c r="D36" s="35"/>
      <c r="E36" s="75"/>
      <c r="F36" s="39"/>
      <c r="G36" s="75"/>
      <c r="H36" s="75"/>
      <c r="I36" s="40"/>
      <c r="J36" s="75"/>
      <c r="K36" s="35"/>
      <c r="L36" s="35"/>
      <c r="N36" s="31"/>
      <c r="O36" s="31"/>
      <c r="P36" s="31"/>
      <c r="Q36" s="31"/>
      <c r="R36" s="31"/>
      <c r="S36" s="74"/>
      <c r="T36" s="74"/>
      <c r="U36" s="31"/>
      <c r="V36" s="31"/>
      <c r="W36" s="31"/>
      <c r="X36" s="31"/>
      <c r="Y36" s="31"/>
      <c r="Z36" s="74"/>
      <c r="AA36" s="74"/>
      <c r="AB36" s="31"/>
      <c r="AC36" s="31"/>
      <c r="AD36" s="31"/>
      <c r="AE36" s="31"/>
      <c r="AF36" s="31"/>
      <c r="AG36" s="74"/>
      <c r="AH36" s="74"/>
      <c r="AI36" s="31"/>
      <c r="AJ36" s="31"/>
      <c r="AK36" s="31"/>
      <c r="AL36" s="31"/>
      <c r="AM36" s="31"/>
      <c r="AN36" s="74"/>
      <c r="AO36" s="74"/>
      <c r="AP36" s="31"/>
      <c r="AQ36" s="31"/>
      <c r="AR36" s="31"/>
      <c r="AS36" s="31"/>
      <c r="AT36" s="31"/>
      <c r="AU36" s="74"/>
      <c r="AV36" s="74"/>
      <c r="AW36" s="31"/>
      <c r="AX36" s="31"/>
      <c r="AY36" s="31"/>
      <c r="AZ36" s="31"/>
      <c r="BA36" s="31"/>
      <c r="BB36" s="74"/>
      <c r="BC36" s="74"/>
      <c r="BD36" s="31"/>
      <c r="BE36" s="31"/>
      <c r="BF36" s="31"/>
      <c r="BG36" s="31"/>
      <c r="BH36" s="31"/>
      <c r="BI36" s="74"/>
      <c r="BJ36" s="74"/>
      <c r="BK36" s="31"/>
      <c r="BL36" s="31"/>
      <c r="BM36" s="31"/>
      <c r="BN36" s="31"/>
      <c r="BO36" s="31"/>
      <c r="BP36" s="74"/>
      <c r="BQ36" s="74"/>
      <c r="BR36" s="31"/>
      <c r="BS36" s="31"/>
      <c r="BT36" s="31"/>
      <c r="BU36" s="31"/>
      <c r="BV36" s="31"/>
      <c r="BW36" s="74"/>
      <c r="BX36" s="74"/>
      <c r="BY36" s="31"/>
      <c r="BZ36" s="31"/>
      <c r="CA36" s="31"/>
      <c r="CB36" s="31"/>
      <c r="CC36" s="31"/>
      <c r="CD36" s="74"/>
      <c r="CE36" s="74"/>
      <c r="CF36" s="31"/>
      <c r="CG36" s="31"/>
      <c r="CH36" s="31"/>
      <c r="CI36" s="31"/>
      <c r="CJ36" s="31"/>
      <c r="CK36" s="74"/>
      <c r="CL36" s="74"/>
      <c r="CM36" s="31"/>
      <c r="CN36" s="31"/>
      <c r="CO36" s="31"/>
      <c r="CP36" s="31"/>
      <c r="CQ36" s="31"/>
      <c r="CR36" s="74"/>
      <c r="CS36" s="74"/>
      <c r="CT36" s="31"/>
      <c r="CU36" s="31"/>
      <c r="CV36" s="31"/>
      <c r="CW36" s="31"/>
      <c r="CX36" s="31"/>
      <c r="CY36" s="74"/>
      <c r="CZ36" s="74"/>
      <c r="DA36" s="31"/>
      <c r="DB36" s="31"/>
      <c r="DC36" s="31"/>
      <c r="DD36" s="31"/>
      <c r="DE36" s="31"/>
      <c r="DF36" s="74"/>
      <c r="DG36" s="74"/>
      <c r="DH36" s="31"/>
      <c r="DI36" s="31"/>
      <c r="DJ36" s="31"/>
      <c r="DK36" s="31"/>
      <c r="DL36" s="31"/>
      <c r="DM36" s="74"/>
      <c r="DN36" s="74"/>
      <c r="DO36" s="31"/>
      <c r="DP36" s="77"/>
      <c r="DQ36" s="31"/>
      <c r="DR36" s="31"/>
      <c r="DS36" s="31"/>
      <c r="DT36" s="74"/>
      <c r="DU36" s="74"/>
      <c r="DV36" s="31"/>
      <c r="DW36" s="31"/>
      <c r="DX36" s="31"/>
      <c r="DY36" s="31"/>
      <c r="DZ36" s="31"/>
      <c r="EA36" s="74"/>
      <c r="EB36" s="74"/>
      <c r="EC36" s="31"/>
      <c r="ED36" s="31"/>
      <c r="EE36" s="31"/>
      <c r="EF36" s="31"/>
      <c r="EG36" s="31"/>
      <c r="EH36" s="74"/>
      <c r="EI36" s="74"/>
      <c r="EJ36" s="31"/>
      <c r="EK36" s="31"/>
      <c r="EL36" s="31"/>
      <c r="EM36" s="31"/>
      <c r="EN36" s="31"/>
      <c r="EO36" s="74"/>
      <c r="EP36" s="74"/>
      <c r="EQ36" s="31"/>
      <c r="ER36" s="31"/>
      <c r="ES36" s="31"/>
      <c r="ET36" s="31"/>
      <c r="EU36" s="31"/>
      <c r="EV36" s="74"/>
      <c r="EW36" s="74"/>
      <c r="EX36" s="31"/>
      <c r="EY36" s="31"/>
      <c r="EZ36" s="31"/>
      <c r="FA36" s="31"/>
      <c r="FB36" s="31"/>
      <c r="FC36" s="74"/>
      <c r="FD36" s="74"/>
      <c r="FE36" s="31"/>
      <c r="FF36" s="31"/>
      <c r="FG36" s="31"/>
      <c r="FH36" s="31"/>
      <c r="FI36" s="31"/>
      <c r="FJ36" s="74"/>
      <c r="FK36" s="74"/>
      <c r="FL36" s="31"/>
      <c r="FM36" s="31"/>
      <c r="FN36" s="31"/>
      <c r="FO36" s="31"/>
      <c r="FP36" s="31"/>
      <c r="FQ36" s="74"/>
      <c r="FR36" s="74"/>
      <c r="FS36" s="31"/>
      <c r="FT36" s="31"/>
      <c r="FU36" s="31"/>
      <c r="FV36" s="31"/>
      <c r="FW36" s="31"/>
      <c r="FX36" s="74"/>
      <c r="FY36" s="74"/>
      <c r="FZ36" s="31"/>
      <c r="GA36" s="31"/>
      <c r="GB36" s="31"/>
      <c r="GC36" s="31"/>
      <c r="GD36" s="31"/>
      <c r="GE36" s="74"/>
      <c r="GF36" s="74"/>
      <c r="GG36" s="31"/>
      <c r="GH36" s="31"/>
      <c r="GI36" s="31"/>
      <c r="GJ36" s="31"/>
      <c r="GK36" s="31"/>
      <c r="GL36" s="74"/>
      <c r="GM36" s="74"/>
      <c r="GN36" s="31"/>
      <c r="GO36" s="31"/>
      <c r="GP36" s="31"/>
      <c r="GQ36" s="31"/>
      <c r="GR36" s="31"/>
      <c r="GS36" s="74"/>
      <c r="GT36" s="74"/>
      <c r="GU36" s="31"/>
      <c r="GV36" s="31"/>
      <c r="GW36" s="31"/>
      <c r="GX36" s="31"/>
      <c r="GY36" s="31"/>
      <c r="GZ36" s="74"/>
      <c r="HA36" s="74"/>
      <c r="HB36" s="31"/>
      <c r="HC36" s="31"/>
      <c r="HD36" s="31"/>
      <c r="HE36" s="31"/>
      <c r="HF36" s="31"/>
      <c r="HG36" s="74"/>
      <c r="HH36" s="74"/>
      <c r="HI36" s="31"/>
      <c r="HJ36" s="31"/>
      <c r="HK36" s="31"/>
      <c r="HL36" s="31"/>
      <c r="HM36" s="31"/>
      <c r="HN36" s="74"/>
      <c r="HO36" s="74"/>
      <c r="HP36" s="31"/>
      <c r="HQ36" s="31"/>
      <c r="HR36" s="31"/>
      <c r="HS36" s="31"/>
      <c r="HT36" s="31"/>
      <c r="HU36" s="74"/>
      <c r="HV36" s="74"/>
      <c r="HW36" s="31"/>
      <c r="HX36" s="31"/>
      <c r="HY36" s="31"/>
      <c r="HZ36" s="31"/>
      <c r="IA36" s="31"/>
      <c r="IB36" s="74"/>
      <c r="IC36" s="74"/>
      <c r="ID36" s="31"/>
      <c r="IE36" s="31"/>
      <c r="IF36" s="31"/>
      <c r="IG36" s="31"/>
      <c r="IH36" s="31"/>
      <c r="II36" s="74"/>
      <c r="IJ36" s="74"/>
      <c r="IK36" s="31"/>
      <c r="IL36" s="31"/>
      <c r="IM36" s="31"/>
      <c r="IN36" s="31"/>
      <c r="IO36" s="31"/>
      <c r="IP36" s="74"/>
      <c r="IQ36" s="74"/>
      <c r="IR36" s="31"/>
      <c r="IS36" s="31"/>
      <c r="IT36" s="31"/>
      <c r="IU36" s="31"/>
      <c r="IV36" s="31"/>
      <c r="IW36" s="74"/>
      <c r="IX36" s="74"/>
      <c r="IY36" s="31"/>
      <c r="IZ36" s="31"/>
      <c r="JA36" s="31"/>
      <c r="JB36" s="31"/>
      <c r="JC36" s="31"/>
      <c r="JD36" s="74"/>
      <c r="JE36" s="74"/>
      <c r="JF36" s="31"/>
      <c r="JG36" s="31"/>
      <c r="JH36" s="31"/>
      <c r="JI36" s="31"/>
      <c r="JJ36" s="31"/>
      <c r="JK36" s="74"/>
      <c r="JL36" s="74"/>
      <c r="JM36" s="31"/>
      <c r="JN36" s="31"/>
      <c r="JO36" s="31"/>
      <c r="JP36" s="31"/>
      <c r="JQ36" s="31"/>
      <c r="JR36" s="74"/>
      <c r="JS36" s="74"/>
      <c r="JT36" s="31"/>
      <c r="JU36" s="31"/>
      <c r="JV36" s="31"/>
      <c r="JW36" s="31"/>
      <c r="JX36" s="31"/>
      <c r="JY36" s="74"/>
      <c r="JZ36" s="74"/>
      <c r="KA36" s="31"/>
      <c r="KB36" s="31"/>
      <c r="KC36" s="31"/>
      <c r="KD36" s="31"/>
      <c r="KE36" s="31"/>
      <c r="KF36" s="74"/>
      <c r="KG36" s="74"/>
      <c r="KH36" s="31"/>
      <c r="KI36" s="31"/>
      <c r="KJ36" s="31"/>
      <c r="KK36" s="31"/>
      <c r="KL36" s="31"/>
      <c r="KM36" s="74"/>
      <c r="KN36" s="74"/>
      <c r="KO36" s="31"/>
      <c r="KP36" s="31"/>
      <c r="KQ36" s="31"/>
      <c r="KR36" s="31"/>
      <c r="KS36" s="31"/>
      <c r="KT36" s="74"/>
      <c r="KU36" s="74"/>
      <c r="KV36" s="31"/>
      <c r="KW36" s="31"/>
      <c r="KX36" s="31"/>
      <c r="KY36" s="31"/>
      <c r="KZ36" s="31"/>
      <c r="LA36" s="74"/>
      <c r="LB36" s="74"/>
      <c r="LC36" s="31"/>
      <c r="LD36" s="31"/>
      <c r="LE36" s="31"/>
      <c r="LF36" s="31"/>
      <c r="LG36" s="31"/>
      <c r="LH36" s="74"/>
      <c r="LI36" s="74"/>
      <c r="LJ36" s="31"/>
      <c r="LK36" s="31"/>
      <c r="LL36" s="31"/>
      <c r="LM36" s="31"/>
      <c r="LN36" s="31"/>
      <c r="LO36" s="74"/>
      <c r="LP36" s="74"/>
      <c r="LQ36" s="31"/>
      <c r="LR36" s="31"/>
      <c r="LS36" s="31"/>
      <c r="LT36" s="31"/>
      <c r="LU36" s="31"/>
      <c r="LV36" s="74"/>
      <c r="LW36" s="74"/>
      <c r="LX36" s="31"/>
      <c r="LY36" s="31"/>
      <c r="LZ36" s="31"/>
      <c r="MA36" s="31"/>
      <c r="MB36" s="31"/>
      <c r="MC36" s="74"/>
      <c r="MD36" s="74"/>
      <c r="ME36" s="31"/>
      <c r="MF36" s="31"/>
      <c r="MG36" s="31"/>
      <c r="MH36" s="31"/>
      <c r="MI36" s="31"/>
      <c r="MJ36" s="74"/>
      <c r="MK36" s="74"/>
      <c r="ML36" s="31"/>
      <c r="MM36" s="31"/>
      <c r="MN36" s="31"/>
      <c r="MO36" s="31"/>
      <c r="MP36" s="31"/>
      <c r="MQ36" s="74"/>
      <c r="MR36" s="74"/>
      <c r="MS36" s="31"/>
      <c r="MT36" s="31"/>
      <c r="MU36" s="31"/>
      <c r="MV36" s="31"/>
      <c r="MW36" s="31"/>
      <c r="MX36" s="74"/>
      <c r="MY36" s="74"/>
      <c r="MZ36" s="31"/>
      <c r="NA36" s="31"/>
      <c r="NB36" s="31"/>
      <c r="NC36" s="31"/>
      <c r="ND36" s="31"/>
      <c r="NE36" s="74"/>
      <c r="NF36" s="74"/>
      <c r="NG36" s="31"/>
      <c r="NH36" s="31"/>
      <c r="NI36" s="31"/>
      <c r="NJ36" s="31"/>
      <c r="NK36" s="31"/>
      <c r="NL36" s="74"/>
      <c r="NM36" s="74"/>
      <c r="NN36" s="31"/>
      <c r="NO36" s="31"/>
      <c r="NP36" s="31"/>
      <c r="NQ36" s="31"/>
      <c r="NR36" s="31"/>
      <c r="NS36" s="74"/>
      <c r="NT36" s="74"/>
    </row>
    <row r="37" spans="2:384" s="29" customFormat="1" ht="9" customHeight="1" outlineLevel="2" x14ac:dyDescent="0.2">
      <c r="B37" s="78">
        <v>1.05</v>
      </c>
      <c r="C37" s="35" t="s">
        <v>77</v>
      </c>
      <c r="D37" s="35"/>
      <c r="E37" s="75"/>
      <c r="F37" s="39"/>
      <c r="G37" s="75"/>
      <c r="H37" s="75"/>
      <c r="I37" s="40"/>
      <c r="J37" s="75"/>
      <c r="K37" s="35"/>
      <c r="L37" s="35"/>
      <c r="N37" s="31"/>
      <c r="O37" s="31"/>
      <c r="P37" s="31"/>
      <c r="Q37" s="31"/>
      <c r="R37" s="31"/>
      <c r="S37" s="74"/>
      <c r="T37" s="74"/>
      <c r="U37" s="31"/>
      <c r="V37" s="31"/>
      <c r="W37" s="31"/>
      <c r="X37" s="31"/>
      <c r="Y37" s="31"/>
      <c r="Z37" s="74"/>
      <c r="AA37" s="74"/>
      <c r="AB37" s="31"/>
      <c r="AC37" s="31"/>
      <c r="AD37" s="31"/>
      <c r="AE37" s="31"/>
      <c r="AF37" s="31"/>
      <c r="AG37" s="74"/>
      <c r="AH37" s="74"/>
      <c r="AI37" s="31"/>
      <c r="AJ37" s="31"/>
      <c r="AK37" s="31"/>
      <c r="AL37" s="31"/>
      <c r="AM37" s="31"/>
      <c r="AN37" s="74"/>
      <c r="AO37" s="74"/>
      <c r="AP37" s="31"/>
      <c r="AQ37" s="31"/>
      <c r="AR37" s="31"/>
      <c r="AS37" s="31"/>
      <c r="AT37" s="31"/>
      <c r="AU37" s="74"/>
      <c r="AV37" s="74"/>
      <c r="AW37" s="31"/>
      <c r="AX37" s="31"/>
      <c r="AY37" s="31"/>
      <c r="AZ37" s="31"/>
      <c r="BA37" s="31"/>
      <c r="BB37" s="74"/>
      <c r="BC37" s="74"/>
      <c r="BD37" s="31"/>
      <c r="BE37" s="31"/>
      <c r="BF37" s="31"/>
      <c r="BG37" s="31"/>
      <c r="BH37" s="31"/>
      <c r="BI37" s="74"/>
      <c r="BJ37" s="74"/>
      <c r="BK37" s="31"/>
      <c r="BL37" s="31"/>
      <c r="BM37" s="31"/>
      <c r="BN37" s="31"/>
      <c r="BO37" s="31"/>
      <c r="BP37" s="74"/>
      <c r="BQ37" s="74"/>
      <c r="BR37" s="31"/>
      <c r="BS37" s="31"/>
      <c r="BT37" s="31"/>
      <c r="BU37" s="31"/>
      <c r="BV37" s="31"/>
      <c r="BW37" s="74"/>
      <c r="BX37" s="74"/>
      <c r="BY37" s="31"/>
      <c r="BZ37" s="31"/>
      <c r="CA37" s="31"/>
      <c r="CB37" s="31"/>
      <c r="CC37" s="31"/>
      <c r="CD37" s="74"/>
      <c r="CE37" s="74"/>
      <c r="CF37" s="31"/>
      <c r="CG37" s="31"/>
      <c r="CH37" s="31"/>
      <c r="CI37" s="31"/>
      <c r="CJ37" s="31"/>
      <c r="CK37" s="74"/>
      <c r="CL37" s="74"/>
      <c r="CM37" s="31"/>
      <c r="CN37" s="31"/>
      <c r="CO37" s="31"/>
      <c r="CP37" s="31"/>
      <c r="CQ37" s="31"/>
      <c r="CR37" s="74"/>
      <c r="CS37" s="74"/>
      <c r="CT37" s="31"/>
      <c r="CU37" s="31"/>
      <c r="CV37" s="31"/>
      <c r="CW37" s="31"/>
      <c r="CX37" s="31"/>
      <c r="CY37" s="74"/>
      <c r="CZ37" s="74"/>
      <c r="DA37" s="31"/>
      <c r="DB37" s="31"/>
      <c r="DC37" s="31"/>
      <c r="DD37" s="31"/>
      <c r="DE37" s="31"/>
      <c r="DF37" s="74"/>
      <c r="DG37" s="74"/>
      <c r="DH37" s="31"/>
      <c r="DI37" s="31"/>
      <c r="DJ37" s="31"/>
      <c r="DK37" s="31"/>
      <c r="DL37" s="31"/>
      <c r="DM37" s="74"/>
      <c r="DN37" s="74"/>
      <c r="DO37" s="31"/>
      <c r="DP37" s="77"/>
      <c r="DQ37" s="31"/>
      <c r="DR37" s="31"/>
      <c r="DS37" s="31"/>
      <c r="DT37" s="74"/>
      <c r="DU37" s="74"/>
      <c r="DV37" s="31"/>
      <c r="DW37" s="31"/>
      <c r="DX37" s="31"/>
      <c r="DY37" s="31"/>
      <c r="DZ37" s="31"/>
      <c r="EA37" s="74"/>
      <c r="EB37" s="74"/>
      <c r="EC37" s="31"/>
      <c r="ED37" s="31"/>
      <c r="EE37" s="31"/>
      <c r="EF37" s="31"/>
      <c r="EG37" s="31"/>
      <c r="EH37" s="74"/>
      <c r="EI37" s="74"/>
      <c r="EJ37" s="31"/>
      <c r="EK37" s="31"/>
      <c r="EL37" s="31"/>
      <c r="EM37" s="31"/>
      <c r="EN37" s="31"/>
      <c r="EO37" s="74"/>
      <c r="EP37" s="74"/>
      <c r="EQ37" s="31"/>
      <c r="ER37" s="31"/>
      <c r="ES37" s="31"/>
      <c r="ET37" s="31"/>
      <c r="EU37" s="31"/>
      <c r="EV37" s="74"/>
      <c r="EW37" s="74"/>
      <c r="EX37" s="31"/>
      <c r="EY37" s="31"/>
      <c r="EZ37" s="31"/>
      <c r="FA37" s="31"/>
      <c r="FB37" s="31"/>
      <c r="FC37" s="74"/>
      <c r="FD37" s="74"/>
      <c r="FE37" s="31"/>
      <c r="FF37" s="31"/>
      <c r="FG37" s="31"/>
      <c r="FH37" s="31"/>
      <c r="FI37" s="31"/>
      <c r="FJ37" s="74"/>
      <c r="FK37" s="74"/>
      <c r="FL37" s="31"/>
      <c r="FM37" s="31"/>
      <c r="FN37" s="31"/>
      <c r="FO37" s="31"/>
      <c r="FP37" s="31"/>
      <c r="FQ37" s="74"/>
      <c r="FR37" s="74"/>
      <c r="FS37" s="31"/>
      <c r="FT37" s="31"/>
      <c r="FU37" s="31"/>
      <c r="FV37" s="31"/>
      <c r="FW37" s="31"/>
      <c r="FX37" s="74"/>
      <c r="FY37" s="74"/>
      <c r="FZ37" s="31"/>
      <c r="GA37" s="31"/>
      <c r="GB37" s="31"/>
      <c r="GC37" s="31"/>
      <c r="GD37" s="31"/>
      <c r="GE37" s="74"/>
      <c r="GF37" s="74"/>
      <c r="GG37" s="31"/>
      <c r="GH37" s="31"/>
      <c r="GI37" s="31"/>
      <c r="GJ37" s="31"/>
      <c r="GK37" s="31"/>
      <c r="GL37" s="74"/>
      <c r="GM37" s="74"/>
      <c r="GN37" s="31"/>
      <c r="GO37" s="31"/>
      <c r="GP37" s="31"/>
      <c r="GQ37" s="31"/>
      <c r="GR37" s="31"/>
      <c r="GS37" s="74"/>
      <c r="GT37" s="74"/>
      <c r="GU37" s="31"/>
      <c r="GV37" s="31"/>
      <c r="GW37" s="31"/>
      <c r="GX37" s="31"/>
      <c r="GY37" s="31"/>
      <c r="GZ37" s="74"/>
      <c r="HA37" s="74"/>
      <c r="HB37" s="31"/>
      <c r="HC37" s="31"/>
      <c r="HD37" s="31"/>
      <c r="HE37" s="31"/>
      <c r="HF37" s="31"/>
      <c r="HG37" s="74"/>
      <c r="HH37" s="74"/>
      <c r="HI37" s="31"/>
      <c r="HJ37" s="31"/>
      <c r="HK37" s="31"/>
      <c r="HL37" s="31"/>
      <c r="HM37" s="31"/>
      <c r="HN37" s="74"/>
      <c r="HO37" s="74"/>
      <c r="HP37" s="31"/>
      <c r="HQ37" s="31"/>
      <c r="HR37" s="31"/>
      <c r="HS37" s="31"/>
      <c r="HT37" s="31"/>
      <c r="HU37" s="74"/>
      <c r="HV37" s="74"/>
      <c r="HW37" s="31"/>
      <c r="HX37" s="31"/>
      <c r="HY37" s="31"/>
      <c r="HZ37" s="31"/>
      <c r="IA37" s="31"/>
      <c r="IB37" s="74"/>
      <c r="IC37" s="74"/>
      <c r="ID37" s="31"/>
      <c r="IE37" s="31"/>
      <c r="IF37" s="31"/>
      <c r="IG37" s="31"/>
      <c r="IH37" s="31"/>
      <c r="II37" s="74"/>
      <c r="IJ37" s="74"/>
      <c r="IK37" s="31"/>
      <c r="IL37" s="31"/>
      <c r="IM37" s="31"/>
      <c r="IN37" s="31"/>
      <c r="IO37" s="31"/>
      <c r="IP37" s="74"/>
      <c r="IQ37" s="74"/>
      <c r="IR37" s="31"/>
      <c r="IS37" s="31"/>
      <c r="IT37" s="31"/>
      <c r="IU37" s="31"/>
      <c r="IV37" s="31"/>
      <c r="IW37" s="74"/>
      <c r="IX37" s="74"/>
      <c r="IY37" s="31"/>
      <c r="IZ37" s="31"/>
      <c r="JA37" s="31"/>
      <c r="JB37" s="31"/>
      <c r="JC37" s="31"/>
      <c r="JD37" s="74"/>
      <c r="JE37" s="74"/>
      <c r="JF37" s="31"/>
      <c r="JG37" s="31"/>
      <c r="JH37" s="31"/>
      <c r="JI37" s="31"/>
      <c r="JJ37" s="31"/>
      <c r="JK37" s="74"/>
      <c r="JL37" s="74"/>
      <c r="JM37" s="31"/>
      <c r="JN37" s="31"/>
      <c r="JO37" s="31"/>
      <c r="JP37" s="31"/>
      <c r="JQ37" s="31"/>
      <c r="JR37" s="74"/>
      <c r="JS37" s="74"/>
      <c r="JT37" s="31"/>
      <c r="JU37" s="31"/>
      <c r="JV37" s="31"/>
      <c r="JW37" s="31"/>
      <c r="JX37" s="31"/>
      <c r="JY37" s="74"/>
      <c r="JZ37" s="74"/>
      <c r="KA37" s="31"/>
      <c r="KB37" s="31"/>
      <c r="KC37" s="31"/>
      <c r="KD37" s="31"/>
      <c r="KE37" s="31"/>
      <c r="KF37" s="74"/>
      <c r="KG37" s="74"/>
      <c r="KH37" s="31"/>
      <c r="KI37" s="31"/>
      <c r="KJ37" s="31"/>
      <c r="KK37" s="31"/>
      <c r="KL37" s="31"/>
      <c r="KM37" s="74"/>
      <c r="KN37" s="74"/>
      <c r="KO37" s="31"/>
      <c r="KP37" s="31"/>
      <c r="KQ37" s="31"/>
      <c r="KR37" s="31"/>
      <c r="KS37" s="31"/>
      <c r="KT37" s="74"/>
      <c r="KU37" s="74"/>
      <c r="KV37" s="31"/>
      <c r="KW37" s="31"/>
      <c r="KX37" s="31"/>
      <c r="KY37" s="31"/>
      <c r="KZ37" s="31"/>
      <c r="LA37" s="74"/>
      <c r="LB37" s="74"/>
      <c r="LC37" s="31"/>
      <c r="LD37" s="31"/>
      <c r="LE37" s="31"/>
      <c r="LF37" s="31"/>
      <c r="LG37" s="31"/>
      <c r="LH37" s="74"/>
      <c r="LI37" s="74"/>
      <c r="LJ37" s="31"/>
      <c r="LK37" s="31"/>
      <c r="LL37" s="31"/>
      <c r="LM37" s="31"/>
      <c r="LN37" s="31"/>
      <c r="LO37" s="74"/>
      <c r="LP37" s="74"/>
      <c r="LQ37" s="31"/>
      <c r="LR37" s="31"/>
      <c r="LS37" s="31"/>
      <c r="LT37" s="31"/>
      <c r="LU37" s="31"/>
      <c r="LV37" s="74"/>
      <c r="LW37" s="74"/>
      <c r="LX37" s="31"/>
      <c r="LY37" s="31"/>
      <c r="LZ37" s="31"/>
      <c r="MA37" s="31"/>
      <c r="MB37" s="31"/>
      <c r="MC37" s="74"/>
      <c r="MD37" s="74"/>
      <c r="ME37" s="31"/>
      <c r="MF37" s="31"/>
      <c r="MG37" s="31"/>
      <c r="MH37" s="31"/>
      <c r="MI37" s="31"/>
      <c r="MJ37" s="74"/>
      <c r="MK37" s="74"/>
      <c r="ML37" s="31"/>
      <c r="MM37" s="31"/>
      <c r="MN37" s="31"/>
      <c r="MO37" s="31"/>
      <c r="MP37" s="31"/>
      <c r="MQ37" s="74"/>
      <c r="MR37" s="74"/>
      <c r="MS37" s="31"/>
      <c r="MT37" s="31"/>
      <c r="MU37" s="31"/>
      <c r="MV37" s="31"/>
      <c r="MW37" s="31"/>
      <c r="MX37" s="74"/>
      <c r="MY37" s="74"/>
      <c r="MZ37" s="31"/>
      <c r="NA37" s="31"/>
      <c r="NB37" s="31"/>
      <c r="NC37" s="31"/>
      <c r="ND37" s="31"/>
      <c r="NE37" s="74"/>
      <c r="NF37" s="74"/>
      <c r="NG37" s="31"/>
      <c r="NH37" s="31"/>
      <c r="NI37" s="31"/>
      <c r="NJ37" s="31"/>
      <c r="NK37" s="31"/>
      <c r="NL37" s="74"/>
      <c r="NM37" s="74"/>
      <c r="NN37" s="31"/>
      <c r="NO37" s="31"/>
      <c r="NP37" s="31"/>
      <c r="NQ37" s="31"/>
      <c r="NR37" s="31"/>
      <c r="NS37" s="74"/>
      <c r="NT37" s="74"/>
    </row>
    <row r="38" spans="2:384" s="29" customFormat="1" ht="9" customHeight="1" outlineLevel="2" x14ac:dyDescent="0.2">
      <c r="B38" s="78">
        <v>1.06</v>
      </c>
      <c r="C38" s="35" t="s">
        <v>72</v>
      </c>
      <c r="D38" s="35"/>
      <c r="E38" s="75"/>
      <c r="F38" s="39"/>
      <c r="G38" s="75"/>
      <c r="H38" s="75"/>
      <c r="I38" s="40"/>
      <c r="J38" s="75"/>
      <c r="K38" s="35"/>
      <c r="L38" s="35"/>
      <c r="N38" s="31"/>
      <c r="O38" s="31"/>
      <c r="P38" s="31"/>
      <c r="Q38" s="31"/>
      <c r="R38" s="31"/>
      <c r="S38" s="74"/>
      <c r="T38" s="74"/>
      <c r="U38" s="31"/>
      <c r="V38" s="31"/>
      <c r="W38" s="31"/>
      <c r="X38" s="31"/>
      <c r="Y38" s="31"/>
      <c r="Z38" s="74"/>
      <c r="AA38" s="74"/>
      <c r="AB38" s="31"/>
      <c r="AC38" s="31"/>
      <c r="AD38" s="31"/>
      <c r="AE38" s="31"/>
      <c r="AF38" s="31"/>
      <c r="AG38" s="74"/>
      <c r="AH38" s="74"/>
      <c r="AI38" s="31"/>
      <c r="AJ38" s="31"/>
      <c r="AK38" s="31"/>
      <c r="AL38" s="31"/>
      <c r="AM38" s="31"/>
      <c r="AN38" s="74"/>
      <c r="AO38" s="74"/>
      <c r="AP38" s="31"/>
      <c r="AQ38" s="31"/>
      <c r="AR38" s="31"/>
      <c r="AS38" s="31"/>
      <c r="AT38" s="31"/>
      <c r="AU38" s="74"/>
      <c r="AV38" s="74"/>
      <c r="AW38" s="31"/>
      <c r="AX38" s="31"/>
      <c r="AY38" s="31"/>
      <c r="AZ38" s="31"/>
      <c r="BA38" s="31"/>
      <c r="BB38" s="74"/>
      <c r="BC38" s="74"/>
      <c r="BD38" s="31"/>
      <c r="BE38" s="31"/>
      <c r="BF38" s="31"/>
      <c r="BG38" s="31"/>
      <c r="BH38" s="31"/>
      <c r="BI38" s="74"/>
      <c r="BJ38" s="74"/>
      <c r="BK38" s="31"/>
      <c r="BL38" s="31"/>
      <c r="BM38" s="31"/>
      <c r="BN38" s="31"/>
      <c r="BO38" s="31"/>
      <c r="BP38" s="74"/>
      <c r="BQ38" s="74"/>
      <c r="BR38" s="31"/>
      <c r="BS38" s="31"/>
      <c r="BT38" s="31"/>
      <c r="BU38" s="31"/>
      <c r="BV38" s="31"/>
      <c r="BW38" s="74"/>
      <c r="BX38" s="74"/>
      <c r="BY38" s="31"/>
      <c r="BZ38" s="31"/>
      <c r="CA38" s="31"/>
      <c r="CB38" s="31"/>
      <c r="CC38" s="31"/>
      <c r="CD38" s="74"/>
      <c r="CE38" s="74"/>
      <c r="CF38" s="31"/>
      <c r="CG38" s="31"/>
      <c r="CH38" s="31"/>
      <c r="CI38" s="31"/>
      <c r="CJ38" s="31"/>
      <c r="CK38" s="74"/>
      <c r="CL38" s="74"/>
      <c r="CM38" s="31"/>
      <c r="CN38" s="31"/>
      <c r="CO38" s="31"/>
      <c r="CP38" s="31"/>
      <c r="CQ38" s="31"/>
      <c r="CR38" s="74"/>
      <c r="CS38" s="74"/>
      <c r="CT38" s="31"/>
      <c r="CU38" s="31"/>
      <c r="CV38" s="31"/>
      <c r="CW38" s="31"/>
      <c r="CX38" s="31"/>
      <c r="CY38" s="74"/>
      <c r="CZ38" s="74"/>
      <c r="DA38" s="31"/>
      <c r="DB38" s="31"/>
      <c r="DC38" s="31"/>
      <c r="DD38" s="31"/>
      <c r="DE38" s="31"/>
      <c r="DF38" s="74"/>
      <c r="DG38" s="74"/>
      <c r="DH38" s="31"/>
      <c r="DI38" s="31"/>
      <c r="DJ38" s="31"/>
      <c r="DK38" s="31"/>
      <c r="DL38" s="31"/>
      <c r="DM38" s="74"/>
      <c r="DN38" s="74"/>
      <c r="DO38" s="31"/>
      <c r="DP38" s="77"/>
      <c r="DQ38" s="31"/>
      <c r="DR38" s="31"/>
      <c r="DS38" s="31"/>
      <c r="DT38" s="74"/>
      <c r="DU38" s="74"/>
      <c r="DV38" s="31"/>
      <c r="DW38" s="31"/>
      <c r="DX38" s="31"/>
      <c r="DY38" s="31"/>
      <c r="DZ38" s="31"/>
      <c r="EA38" s="74"/>
      <c r="EB38" s="74"/>
      <c r="EC38" s="31"/>
      <c r="ED38" s="31"/>
      <c r="EE38" s="31"/>
      <c r="EF38" s="31"/>
      <c r="EG38" s="31"/>
      <c r="EH38" s="74"/>
      <c r="EI38" s="74"/>
      <c r="EJ38" s="31"/>
      <c r="EK38" s="31"/>
      <c r="EL38" s="31"/>
      <c r="EM38" s="31"/>
      <c r="EN38" s="31"/>
      <c r="EO38" s="74"/>
      <c r="EP38" s="74"/>
      <c r="EQ38" s="31"/>
      <c r="ER38" s="31"/>
      <c r="ES38" s="31"/>
      <c r="ET38" s="31"/>
      <c r="EU38" s="31"/>
      <c r="EV38" s="74"/>
      <c r="EW38" s="74"/>
      <c r="EX38" s="31"/>
      <c r="EY38" s="31"/>
      <c r="EZ38" s="31"/>
      <c r="FA38" s="31"/>
      <c r="FB38" s="31"/>
      <c r="FC38" s="74"/>
      <c r="FD38" s="74"/>
      <c r="FE38" s="31"/>
      <c r="FF38" s="31"/>
      <c r="FG38" s="31"/>
      <c r="FH38" s="31"/>
      <c r="FI38" s="31"/>
      <c r="FJ38" s="74"/>
      <c r="FK38" s="74"/>
      <c r="FL38" s="31"/>
      <c r="FM38" s="31"/>
      <c r="FN38" s="31"/>
      <c r="FO38" s="31"/>
      <c r="FP38" s="31"/>
      <c r="FQ38" s="74"/>
      <c r="FR38" s="74"/>
      <c r="FS38" s="31"/>
      <c r="FT38" s="31"/>
      <c r="FU38" s="31"/>
      <c r="FV38" s="31"/>
      <c r="FW38" s="31"/>
      <c r="FX38" s="74"/>
      <c r="FY38" s="74"/>
      <c r="FZ38" s="31"/>
      <c r="GA38" s="31"/>
      <c r="GB38" s="31"/>
      <c r="GC38" s="31"/>
      <c r="GD38" s="31"/>
      <c r="GE38" s="74"/>
      <c r="GF38" s="74"/>
      <c r="GG38" s="31"/>
      <c r="GH38" s="31"/>
      <c r="GI38" s="31"/>
      <c r="GJ38" s="31"/>
      <c r="GK38" s="31"/>
      <c r="GL38" s="74"/>
      <c r="GM38" s="74"/>
      <c r="GN38" s="31"/>
      <c r="GO38" s="31"/>
      <c r="GP38" s="31"/>
      <c r="GQ38" s="31"/>
      <c r="GR38" s="31"/>
      <c r="GS38" s="74"/>
      <c r="GT38" s="74"/>
      <c r="GU38" s="31"/>
      <c r="GV38" s="31"/>
      <c r="GW38" s="31"/>
      <c r="GX38" s="31"/>
      <c r="GY38" s="31"/>
      <c r="GZ38" s="74"/>
      <c r="HA38" s="74"/>
      <c r="HB38" s="31"/>
      <c r="HC38" s="31"/>
      <c r="HD38" s="31"/>
      <c r="HE38" s="31"/>
      <c r="HF38" s="31"/>
      <c r="HG38" s="74"/>
      <c r="HH38" s="74"/>
      <c r="HI38" s="31"/>
      <c r="HJ38" s="31"/>
      <c r="HK38" s="31"/>
      <c r="HL38" s="31"/>
      <c r="HM38" s="31"/>
      <c r="HN38" s="74"/>
      <c r="HO38" s="74"/>
      <c r="HP38" s="31"/>
      <c r="HQ38" s="31"/>
      <c r="HR38" s="31"/>
      <c r="HS38" s="31"/>
      <c r="HT38" s="31"/>
      <c r="HU38" s="74"/>
      <c r="HV38" s="74"/>
      <c r="HW38" s="31"/>
      <c r="HX38" s="31"/>
      <c r="HY38" s="31"/>
      <c r="HZ38" s="31"/>
      <c r="IA38" s="31"/>
      <c r="IB38" s="74"/>
      <c r="IC38" s="74"/>
      <c r="ID38" s="31"/>
      <c r="IE38" s="31"/>
      <c r="IF38" s="31"/>
      <c r="IG38" s="31"/>
      <c r="IH38" s="31"/>
      <c r="II38" s="74"/>
      <c r="IJ38" s="74"/>
      <c r="IK38" s="31"/>
      <c r="IL38" s="31"/>
      <c r="IM38" s="31"/>
      <c r="IN38" s="31"/>
      <c r="IO38" s="31"/>
      <c r="IP38" s="74"/>
      <c r="IQ38" s="74"/>
      <c r="IR38" s="31"/>
      <c r="IS38" s="31"/>
      <c r="IT38" s="31"/>
      <c r="IU38" s="31"/>
      <c r="IV38" s="31"/>
      <c r="IW38" s="74"/>
      <c r="IX38" s="74"/>
      <c r="IY38" s="31"/>
      <c r="IZ38" s="31"/>
      <c r="JA38" s="31"/>
      <c r="JB38" s="31"/>
      <c r="JC38" s="31"/>
      <c r="JD38" s="74"/>
      <c r="JE38" s="74"/>
      <c r="JF38" s="31"/>
      <c r="JG38" s="31"/>
      <c r="JH38" s="31"/>
      <c r="JI38" s="31"/>
      <c r="JJ38" s="31"/>
      <c r="JK38" s="74"/>
      <c r="JL38" s="74"/>
      <c r="JM38" s="31"/>
      <c r="JN38" s="31"/>
      <c r="JO38" s="31"/>
      <c r="JP38" s="31"/>
      <c r="JQ38" s="31"/>
      <c r="JR38" s="74"/>
      <c r="JS38" s="74"/>
      <c r="JT38" s="31"/>
      <c r="JU38" s="31"/>
      <c r="JV38" s="31"/>
      <c r="JW38" s="31"/>
      <c r="JX38" s="31"/>
      <c r="JY38" s="74"/>
      <c r="JZ38" s="74"/>
      <c r="KA38" s="31"/>
      <c r="KB38" s="31"/>
      <c r="KC38" s="31"/>
      <c r="KD38" s="31"/>
      <c r="KE38" s="31"/>
      <c r="KF38" s="74"/>
      <c r="KG38" s="74"/>
      <c r="KH38" s="31"/>
      <c r="KI38" s="31"/>
      <c r="KJ38" s="31"/>
      <c r="KK38" s="31"/>
      <c r="KL38" s="31"/>
      <c r="KM38" s="74"/>
      <c r="KN38" s="74"/>
      <c r="KO38" s="31"/>
      <c r="KP38" s="31"/>
      <c r="KQ38" s="31"/>
      <c r="KR38" s="31"/>
      <c r="KS38" s="31"/>
      <c r="KT38" s="74"/>
      <c r="KU38" s="74"/>
      <c r="KV38" s="31"/>
      <c r="KW38" s="31"/>
      <c r="KX38" s="31"/>
      <c r="KY38" s="31"/>
      <c r="KZ38" s="31"/>
      <c r="LA38" s="74"/>
      <c r="LB38" s="74"/>
      <c r="LC38" s="31"/>
      <c r="LD38" s="31"/>
      <c r="LE38" s="31"/>
      <c r="LF38" s="31"/>
      <c r="LG38" s="31"/>
      <c r="LH38" s="74"/>
      <c r="LI38" s="74"/>
      <c r="LJ38" s="31"/>
      <c r="LK38" s="31"/>
      <c r="LL38" s="31"/>
      <c r="LM38" s="31"/>
      <c r="LN38" s="31"/>
      <c r="LO38" s="74"/>
      <c r="LP38" s="74"/>
      <c r="LQ38" s="31"/>
      <c r="LR38" s="31"/>
      <c r="LS38" s="31"/>
      <c r="LT38" s="31"/>
      <c r="LU38" s="31"/>
      <c r="LV38" s="74"/>
      <c r="LW38" s="74"/>
      <c r="LX38" s="31"/>
      <c r="LY38" s="31"/>
      <c r="LZ38" s="31"/>
      <c r="MA38" s="31"/>
      <c r="MB38" s="31"/>
      <c r="MC38" s="74"/>
      <c r="MD38" s="74"/>
      <c r="ME38" s="31"/>
      <c r="MF38" s="31"/>
      <c r="MG38" s="31"/>
      <c r="MH38" s="31"/>
      <c r="MI38" s="31"/>
      <c r="MJ38" s="74"/>
      <c r="MK38" s="74"/>
      <c r="ML38" s="31"/>
      <c r="MM38" s="31"/>
      <c r="MN38" s="31"/>
      <c r="MO38" s="31"/>
      <c r="MP38" s="31"/>
      <c r="MQ38" s="74"/>
      <c r="MR38" s="74"/>
      <c r="MS38" s="31"/>
      <c r="MT38" s="31"/>
      <c r="MU38" s="31"/>
      <c r="MV38" s="31"/>
      <c r="MW38" s="31"/>
      <c r="MX38" s="74"/>
      <c r="MY38" s="74"/>
      <c r="MZ38" s="31"/>
      <c r="NA38" s="31"/>
      <c r="NB38" s="31"/>
      <c r="NC38" s="31"/>
      <c r="ND38" s="31"/>
      <c r="NE38" s="74"/>
      <c r="NF38" s="74"/>
      <c r="NG38" s="31"/>
      <c r="NH38" s="31"/>
      <c r="NI38" s="31"/>
      <c r="NJ38" s="31"/>
      <c r="NK38" s="31"/>
      <c r="NL38" s="74"/>
      <c r="NM38" s="74"/>
      <c r="NN38" s="31"/>
      <c r="NO38" s="31"/>
      <c r="NP38" s="31"/>
      <c r="NQ38" s="31"/>
      <c r="NR38" s="31"/>
      <c r="NS38" s="74"/>
      <c r="NT38" s="74"/>
    </row>
    <row r="39" spans="2:384" s="29" customFormat="1" ht="9" customHeight="1" outlineLevel="2" x14ac:dyDescent="0.2">
      <c r="B39" s="78">
        <v>1.07</v>
      </c>
      <c r="C39" s="35" t="s">
        <v>73</v>
      </c>
      <c r="D39" s="35" t="s">
        <v>50</v>
      </c>
      <c r="E39" s="75"/>
      <c r="F39" s="39"/>
      <c r="G39" s="75"/>
      <c r="H39" s="75"/>
      <c r="I39" s="40"/>
      <c r="J39" s="75"/>
      <c r="K39" s="35"/>
      <c r="L39" s="35"/>
      <c r="N39" s="31"/>
      <c r="O39" s="31"/>
      <c r="P39" s="31"/>
      <c r="Q39" s="31"/>
      <c r="R39" s="31"/>
      <c r="S39" s="74"/>
      <c r="T39" s="74"/>
      <c r="U39" s="31"/>
      <c r="V39" s="31"/>
      <c r="W39" s="31"/>
      <c r="X39" s="31"/>
      <c r="Y39" s="31"/>
      <c r="Z39" s="74"/>
      <c r="AA39" s="74"/>
      <c r="AB39" s="31"/>
      <c r="AC39" s="31"/>
      <c r="AD39" s="31"/>
      <c r="AE39" s="31"/>
      <c r="AF39" s="31"/>
      <c r="AG39" s="74"/>
      <c r="AH39" s="74"/>
      <c r="AI39" s="31"/>
      <c r="AJ39" s="31"/>
      <c r="AK39" s="31"/>
      <c r="AL39" s="31"/>
      <c r="AM39" s="31"/>
      <c r="AN39" s="74"/>
      <c r="AO39" s="74"/>
      <c r="AP39" s="31"/>
      <c r="AQ39" s="31"/>
      <c r="AR39" s="31"/>
      <c r="AS39" s="31"/>
      <c r="AT39" s="31"/>
      <c r="AU39" s="74"/>
      <c r="AV39" s="74"/>
      <c r="AW39" s="31"/>
      <c r="AX39" s="31"/>
      <c r="AY39" s="31"/>
      <c r="AZ39" s="31"/>
      <c r="BA39" s="31"/>
      <c r="BB39" s="74"/>
      <c r="BC39" s="74"/>
      <c r="BD39" s="31"/>
      <c r="BE39" s="31"/>
      <c r="BF39" s="31"/>
      <c r="BG39" s="31"/>
      <c r="BH39" s="31"/>
      <c r="BI39" s="74"/>
      <c r="BJ39" s="74"/>
      <c r="BK39" s="31"/>
      <c r="BL39" s="31"/>
      <c r="BM39" s="31"/>
      <c r="BN39" s="31"/>
      <c r="BO39" s="31"/>
      <c r="BP39" s="74"/>
      <c r="BQ39" s="74"/>
      <c r="BR39" s="31"/>
      <c r="BS39" s="31"/>
      <c r="BT39" s="31"/>
      <c r="BU39" s="31"/>
      <c r="BV39" s="31"/>
      <c r="BW39" s="74"/>
      <c r="BX39" s="74"/>
      <c r="BY39" s="31"/>
      <c r="BZ39" s="31"/>
      <c r="CA39" s="31"/>
      <c r="CB39" s="31"/>
      <c r="CC39" s="31"/>
      <c r="CD39" s="74"/>
      <c r="CE39" s="74"/>
      <c r="CF39" s="31"/>
      <c r="CG39" s="31"/>
      <c r="CH39" s="31"/>
      <c r="CI39" s="31"/>
      <c r="CJ39" s="31"/>
      <c r="CK39" s="74"/>
      <c r="CL39" s="74"/>
      <c r="CM39" s="31"/>
      <c r="CN39" s="31"/>
      <c r="CO39" s="31"/>
      <c r="CP39" s="31"/>
      <c r="CQ39" s="31"/>
      <c r="CR39" s="74"/>
      <c r="CS39" s="74"/>
      <c r="CT39" s="31"/>
      <c r="CU39" s="31"/>
      <c r="CV39" s="31"/>
      <c r="CW39" s="31"/>
      <c r="CX39" s="31"/>
      <c r="CY39" s="74"/>
      <c r="CZ39" s="74"/>
      <c r="DA39" s="31"/>
      <c r="DB39" s="31"/>
      <c r="DC39" s="31"/>
      <c r="DD39" s="31"/>
      <c r="DE39" s="31"/>
      <c r="DF39" s="74"/>
      <c r="DG39" s="74"/>
      <c r="DH39" s="31"/>
      <c r="DI39" s="31"/>
      <c r="DJ39" s="31"/>
      <c r="DK39" s="31"/>
      <c r="DL39" s="31"/>
      <c r="DM39" s="74"/>
      <c r="DN39" s="74"/>
      <c r="DO39" s="31"/>
      <c r="DP39" s="77"/>
      <c r="DQ39" s="31"/>
      <c r="DR39" s="31"/>
      <c r="DS39" s="31"/>
      <c r="DT39" s="74"/>
      <c r="DU39" s="74"/>
      <c r="DV39" s="31"/>
      <c r="DW39" s="31"/>
      <c r="DX39" s="31"/>
      <c r="DY39" s="31"/>
      <c r="DZ39" s="31"/>
      <c r="EA39" s="74"/>
      <c r="EB39" s="74"/>
      <c r="EC39" s="31"/>
      <c r="ED39" s="31"/>
      <c r="EE39" s="31"/>
      <c r="EF39" s="31"/>
      <c r="EG39" s="31"/>
      <c r="EH39" s="74"/>
      <c r="EI39" s="74"/>
      <c r="EJ39" s="31"/>
      <c r="EK39" s="31"/>
      <c r="EL39" s="31"/>
      <c r="EM39" s="31"/>
      <c r="EN39" s="31"/>
      <c r="EO39" s="74"/>
      <c r="EP39" s="74"/>
      <c r="EQ39" s="31"/>
      <c r="ER39" s="31"/>
      <c r="ES39" s="31"/>
      <c r="ET39" s="31"/>
      <c r="EU39" s="31"/>
      <c r="EV39" s="74"/>
      <c r="EW39" s="74"/>
      <c r="EX39" s="31"/>
      <c r="EY39" s="31"/>
      <c r="EZ39" s="31"/>
      <c r="FA39" s="31"/>
      <c r="FB39" s="31"/>
      <c r="FC39" s="74"/>
      <c r="FD39" s="74"/>
      <c r="FE39" s="31"/>
      <c r="FF39" s="31"/>
      <c r="FG39" s="31"/>
      <c r="FH39" s="31"/>
      <c r="FI39" s="31"/>
      <c r="FJ39" s="74"/>
      <c r="FK39" s="74"/>
      <c r="FL39" s="31"/>
      <c r="FM39" s="31"/>
      <c r="FN39" s="31"/>
      <c r="FO39" s="31"/>
      <c r="FP39" s="31"/>
      <c r="FQ39" s="74"/>
      <c r="FR39" s="74"/>
      <c r="FS39" s="31"/>
      <c r="FT39" s="31"/>
      <c r="FU39" s="31"/>
      <c r="FV39" s="31"/>
      <c r="FW39" s="31"/>
      <c r="FX39" s="74"/>
      <c r="FY39" s="74"/>
      <c r="FZ39" s="31"/>
      <c r="GA39" s="31"/>
      <c r="GB39" s="31"/>
      <c r="GC39" s="31"/>
      <c r="GD39" s="31"/>
      <c r="GE39" s="74"/>
      <c r="GF39" s="74"/>
      <c r="GG39" s="31"/>
      <c r="GH39" s="31"/>
      <c r="GI39" s="31"/>
      <c r="GJ39" s="31"/>
      <c r="GK39" s="31"/>
      <c r="GL39" s="74"/>
      <c r="GM39" s="74"/>
      <c r="GN39" s="31"/>
      <c r="GO39" s="31"/>
      <c r="GP39" s="31"/>
      <c r="GQ39" s="31"/>
      <c r="GR39" s="31"/>
      <c r="GS39" s="74"/>
      <c r="GT39" s="74"/>
      <c r="GU39" s="31"/>
      <c r="GV39" s="31"/>
      <c r="GW39" s="31"/>
      <c r="GX39" s="31"/>
      <c r="GY39" s="31"/>
      <c r="GZ39" s="74"/>
      <c r="HA39" s="74"/>
      <c r="HB39" s="31"/>
      <c r="HC39" s="31"/>
      <c r="HD39" s="31"/>
      <c r="HE39" s="31"/>
      <c r="HF39" s="31"/>
      <c r="HG39" s="74"/>
      <c r="HH39" s="74"/>
      <c r="HI39" s="31"/>
      <c r="HJ39" s="31"/>
      <c r="HK39" s="31"/>
      <c r="HL39" s="31"/>
      <c r="HM39" s="31"/>
      <c r="HN39" s="74"/>
      <c r="HO39" s="74"/>
      <c r="HP39" s="31"/>
      <c r="HQ39" s="31"/>
      <c r="HR39" s="31"/>
      <c r="HS39" s="31"/>
      <c r="HT39" s="31"/>
      <c r="HU39" s="74"/>
      <c r="HV39" s="74"/>
      <c r="HW39" s="31"/>
      <c r="HX39" s="31"/>
      <c r="HY39" s="31"/>
      <c r="HZ39" s="31"/>
      <c r="IA39" s="31"/>
      <c r="IB39" s="74"/>
      <c r="IC39" s="74"/>
      <c r="ID39" s="31"/>
      <c r="IE39" s="31"/>
      <c r="IF39" s="31"/>
      <c r="IG39" s="31"/>
      <c r="IH39" s="31"/>
      <c r="II39" s="74"/>
      <c r="IJ39" s="74"/>
      <c r="IK39" s="31"/>
      <c r="IL39" s="31"/>
      <c r="IM39" s="31"/>
      <c r="IN39" s="31"/>
      <c r="IO39" s="31"/>
      <c r="IP39" s="74"/>
      <c r="IQ39" s="74"/>
      <c r="IR39" s="31"/>
      <c r="IS39" s="31"/>
      <c r="IT39" s="31"/>
      <c r="IU39" s="31"/>
      <c r="IV39" s="31"/>
      <c r="IW39" s="74"/>
      <c r="IX39" s="74"/>
      <c r="IY39" s="31"/>
      <c r="IZ39" s="31"/>
      <c r="JA39" s="31"/>
      <c r="JB39" s="31"/>
      <c r="JC39" s="31"/>
      <c r="JD39" s="74"/>
      <c r="JE39" s="74"/>
      <c r="JF39" s="31"/>
      <c r="JG39" s="31"/>
      <c r="JH39" s="31"/>
      <c r="JI39" s="31"/>
      <c r="JJ39" s="31"/>
      <c r="JK39" s="74"/>
      <c r="JL39" s="74"/>
      <c r="JM39" s="31"/>
      <c r="JN39" s="31"/>
      <c r="JO39" s="31"/>
      <c r="JP39" s="31"/>
      <c r="JQ39" s="31"/>
      <c r="JR39" s="74"/>
      <c r="JS39" s="74"/>
      <c r="JT39" s="31"/>
      <c r="JU39" s="31"/>
      <c r="JV39" s="31"/>
      <c r="JW39" s="31"/>
      <c r="JX39" s="31"/>
      <c r="JY39" s="74"/>
      <c r="JZ39" s="74"/>
      <c r="KA39" s="31"/>
      <c r="KB39" s="31"/>
      <c r="KC39" s="31"/>
      <c r="KD39" s="31"/>
      <c r="KE39" s="31"/>
      <c r="KF39" s="74"/>
      <c r="KG39" s="74"/>
      <c r="KH39" s="31"/>
      <c r="KI39" s="31"/>
      <c r="KJ39" s="31"/>
      <c r="KK39" s="31"/>
      <c r="KL39" s="31"/>
      <c r="KM39" s="74"/>
      <c r="KN39" s="74"/>
      <c r="KO39" s="31"/>
      <c r="KP39" s="31"/>
      <c r="KQ39" s="31"/>
      <c r="KR39" s="31"/>
      <c r="KS39" s="31"/>
      <c r="KT39" s="74"/>
      <c r="KU39" s="74"/>
      <c r="KV39" s="31"/>
      <c r="KW39" s="31"/>
      <c r="KX39" s="31"/>
      <c r="KY39" s="31"/>
      <c r="KZ39" s="31"/>
      <c r="LA39" s="74"/>
      <c r="LB39" s="74"/>
      <c r="LC39" s="31"/>
      <c r="LD39" s="31"/>
      <c r="LE39" s="31"/>
      <c r="LF39" s="31"/>
      <c r="LG39" s="31"/>
      <c r="LH39" s="74"/>
      <c r="LI39" s="74"/>
      <c r="LJ39" s="31"/>
      <c r="LK39" s="31"/>
      <c r="LL39" s="31"/>
      <c r="LM39" s="31"/>
      <c r="LN39" s="31"/>
      <c r="LO39" s="74"/>
      <c r="LP39" s="74"/>
      <c r="LQ39" s="31"/>
      <c r="LR39" s="31"/>
      <c r="LS39" s="31"/>
      <c r="LT39" s="31"/>
      <c r="LU39" s="31"/>
      <c r="LV39" s="74"/>
      <c r="LW39" s="74"/>
      <c r="LX39" s="31"/>
      <c r="LY39" s="31"/>
      <c r="LZ39" s="31"/>
      <c r="MA39" s="31"/>
      <c r="MB39" s="31"/>
      <c r="MC39" s="74"/>
      <c r="MD39" s="74"/>
      <c r="ME39" s="31"/>
      <c r="MF39" s="31"/>
      <c r="MG39" s="31"/>
      <c r="MH39" s="31"/>
      <c r="MI39" s="31"/>
      <c r="MJ39" s="74"/>
      <c r="MK39" s="74"/>
      <c r="ML39" s="31"/>
      <c r="MM39" s="31"/>
      <c r="MN39" s="31"/>
      <c r="MO39" s="31"/>
      <c r="MP39" s="31"/>
      <c r="MQ39" s="74"/>
      <c r="MR39" s="74"/>
      <c r="MS39" s="31"/>
      <c r="MT39" s="31"/>
      <c r="MU39" s="31"/>
      <c r="MV39" s="31"/>
      <c r="MW39" s="31"/>
      <c r="MX39" s="74"/>
      <c r="MY39" s="74"/>
      <c r="MZ39" s="31"/>
      <c r="NA39" s="31"/>
      <c r="NB39" s="31"/>
      <c r="NC39" s="31"/>
      <c r="ND39" s="31"/>
      <c r="NE39" s="74"/>
      <c r="NF39" s="74"/>
      <c r="NG39" s="31"/>
      <c r="NH39" s="31"/>
      <c r="NI39" s="31"/>
      <c r="NJ39" s="31"/>
      <c r="NK39" s="31"/>
      <c r="NL39" s="74"/>
      <c r="NM39" s="74"/>
      <c r="NN39" s="31"/>
      <c r="NO39" s="31"/>
      <c r="NP39" s="31"/>
      <c r="NQ39" s="31"/>
      <c r="NR39" s="31"/>
      <c r="NS39" s="74"/>
      <c r="NT39" s="74"/>
    </row>
    <row r="40" spans="2:384" s="29" customFormat="1" ht="9" customHeight="1" outlineLevel="2" x14ac:dyDescent="0.2">
      <c r="B40" s="78">
        <v>1.08</v>
      </c>
      <c r="C40" s="35" t="s">
        <v>75</v>
      </c>
      <c r="D40" s="35"/>
      <c r="E40" s="75"/>
      <c r="F40" s="39"/>
      <c r="G40" s="75"/>
      <c r="H40" s="75"/>
      <c r="I40" s="40"/>
      <c r="J40" s="75"/>
      <c r="K40" s="35"/>
      <c r="L40" s="35"/>
      <c r="N40" s="31"/>
      <c r="O40" s="31"/>
      <c r="P40" s="31"/>
      <c r="Q40" s="31"/>
      <c r="R40" s="31"/>
      <c r="S40" s="74"/>
      <c r="T40" s="74"/>
      <c r="U40" s="31"/>
      <c r="V40" s="31"/>
      <c r="W40" s="31"/>
      <c r="X40" s="31"/>
      <c r="Y40" s="31"/>
      <c r="Z40" s="74"/>
      <c r="AA40" s="74"/>
      <c r="AB40" s="31"/>
      <c r="AC40" s="31"/>
      <c r="AD40" s="31"/>
      <c r="AE40" s="31"/>
      <c r="AF40" s="31"/>
      <c r="AG40" s="74"/>
      <c r="AH40" s="74"/>
      <c r="AI40" s="31"/>
      <c r="AJ40" s="31"/>
      <c r="AK40" s="31"/>
      <c r="AL40" s="31"/>
      <c r="AM40" s="31"/>
      <c r="AN40" s="74"/>
      <c r="AO40" s="74"/>
      <c r="AP40" s="31"/>
      <c r="AQ40" s="31"/>
      <c r="AR40" s="31"/>
      <c r="AS40" s="31"/>
      <c r="AT40" s="31"/>
      <c r="AU40" s="74"/>
      <c r="AV40" s="74"/>
      <c r="AW40" s="31"/>
      <c r="AX40" s="31"/>
      <c r="AY40" s="31"/>
      <c r="AZ40" s="31"/>
      <c r="BA40" s="31"/>
      <c r="BB40" s="74"/>
      <c r="BC40" s="74"/>
      <c r="BD40" s="31"/>
      <c r="BE40" s="31"/>
      <c r="BF40" s="31"/>
      <c r="BG40" s="31"/>
      <c r="BH40" s="31"/>
      <c r="BI40" s="74"/>
      <c r="BJ40" s="74"/>
      <c r="BK40" s="31"/>
      <c r="BL40" s="31"/>
      <c r="BM40" s="31"/>
      <c r="BN40" s="31"/>
      <c r="BO40" s="31"/>
      <c r="BP40" s="74"/>
      <c r="BQ40" s="74"/>
      <c r="BR40" s="31"/>
      <c r="BS40" s="31"/>
      <c r="BT40" s="31"/>
      <c r="BU40" s="31"/>
      <c r="BV40" s="31"/>
      <c r="BW40" s="74"/>
      <c r="BX40" s="74"/>
      <c r="BY40" s="31"/>
      <c r="BZ40" s="31"/>
      <c r="CA40" s="31"/>
      <c r="CB40" s="31"/>
      <c r="CC40" s="31"/>
      <c r="CD40" s="74"/>
      <c r="CE40" s="74"/>
      <c r="CF40" s="31"/>
      <c r="CG40" s="31"/>
      <c r="CH40" s="31"/>
      <c r="CI40" s="31"/>
      <c r="CJ40" s="31"/>
      <c r="CK40" s="74"/>
      <c r="CL40" s="74"/>
      <c r="CM40" s="31"/>
      <c r="CN40" s="31"/>
      <c r="CO40" s="31"/>
      <c r="CP40" s="31"/>
      <c r="CQ40" s="31"/>
      <c r="CR40" s="74"/>
      <c r="CS40" s="74"/>
      <c r="CT40" s="31"/>
      <c r="CU40" s="31"/>
      <c r="CV40" s="31"/>
      <c r="CW40" s="31"/>
      <c r="CX40" s="31"/>
      <c r="CY40" s="74"/>
      <c r="CZ40" s="74"/>
      <c r="DA40" s="31"/>
      <c r="DB40" s="31"/>
      <c r="DC40" s="31"/>
      <c r="DD40" s="31"/>
      <c r="DE40" s="31"/>
      <c r="DF40" s="74"/>
      <c r="DG40" s="74"/>
      <c r="DH40" s="31"/>
      <c r="DI40" s="31"/>
      <c r="DJ40" s="31"/>
      <c r="DK40" s="31"/>
      <c r="DL40" s="31"/>
      <c r="DM40" s="74"/>
      <c r="DN40" s="74"/>
      <c r="DO40" s="31"/>
      <c r="DP40" s="77"/>
      <c r="DQ40" s="31"/>
      <c r="DR40" s="31"/>
      <c r="DS40" s="31"/>
      <c r="DT40" s="74"/>
      <c r="DU40" s="74"/>
      <c r="DV40" s="31"/>
      <c r="DW40" s="31"/>
      <c r="DX40" s="31"/>
      <c r="DY40" s="31"/>
      <c r="DZ40" s="31"/>
      <c r="EA40" s="74"/>
      <c r="EB40" s="74"/>
      <c r="EC40" s="31"/>
      <c r="ED40" s="31"/>
      <c r="EE40" s="31"/>
      <c r="EF40" s="31"/>
      <c r="EG40" s="31"/>
      <c r="EH40" s="74"/>
      <c r="EI40" s="74"/>
      <c r="EJ40" s="31"/>
      <c r="EK40" s="31"/>
      <c r="EL40" s="31"/>
      <c r="EM40" s="31"/>
      <c r="EN40" s="31"/>
      <c r="EO40" s="74"/>
      <c r="EP40" s="74"/>
      <c r="EQ40" s="31"/>
      <c r="ER40" s="31"/>
      <c r="ES40" s="31"/>
      <c r="ET40" s="31"/>
      <c r="EU40" s="31"/>
      <c r="EV40" s="74"/>
      <c r="EW40" s="74"/>
      <c r="EX40" s="31"/>
      <c r="EY40" s="31"/>
      <c r="EZ40" s="31"/>
      <c r="FA40" s="31"/>
      <c r="FB40" s="31"/>
      <c r="FC40" s="74"/>
      <c r="FD40" s="74"/>
      <c r="FE40" s="31"/>
      <c r="FF40" s="31"/>
      <c r="FG40" s="31"/>
      <c r="FH40" s="31"/>
      <c r="FI40" s="31"/>
      <c r="FJ40" s="74"/>
      <c r="FK40" s="74"/>
      <c r="FL40" s="31"/>
      <c r="FM40" s="31"/>
      <c r="FN40" s="31"/>
      <c r="FO40" s="31"/>
      <c r="FP40" s="31"/>
      <c r="FQ40" s="74"/>
      <c r="FR40" s="74"/>
      <c r="FS40" s="31"/>
      <c r="FT40" s="31"/>
      <c r="FU40" s="31"/>
      <c r="FV40" s="31"/>
      <c r="FW40" s="31"/>
      <c r="FX40" s="74"/>
      <c r="FY40" s="74"/>
      <c r="FZ40" s="31"/>
      <c r="GA40" s="31"/>
      <c r="GB40" s="31"/>
      <c r="GC40" s="31"/>
      <c r="GD40" s="31"/>
      <c r="GE40" s="74"/>
      <c r="GF40" s="74"/>
      <c r="GG40" s="31"/>
      <c r="GH40" s="31"/>
      <c r="GI40" s="31"/>
      <c r="GJ40" s="31"/>
      <c r="GK40" s="31"/>
      <c r="GL40" s="74"/>
      <c r="GM40" s="74"/>
      <c r="GN40" s="31"/>
      <c r="GO40" s="31"/>
      <c r="GP40" s="31"/>
      <c r="GQ40" s="31"/>
      <c r="GR40" s="31"/>
      <c r="GS40" s="74"/>
      <c r="GT40" s="74"/>
      <c r="GU40" s="31"/>
      <c r="GV40" s="31"/>
      <c r="GW40" s="31"/>
      <c r="GX40" s="31"/>
      <c r="GY40" s="31"/>
      <c r="GZ40" s="74"/>
      <c r="HA40" s="74"/>
      <c r="HB40" s="31"/>
      <c r="HC40" s="31"/>
      <c r="HD40" s="31"/>
      <c r="HE40" s="31"/>
      <c r="HF40" s="31"/>
      <c r="HG40" s="74"/>
      <c r="HH40" s="74"/>
      <c r="HI40" s="31"/>
      <c r="HJ40" s="31"/>
      <c r="HK40" s="31"/>
      <c r="HL40" s="31"/>
      <c r="HM40" s="31"/>
      <c r="HN40" s="74"/>
      <c r="HO40" s="74"/>
      <c r="HP40" s="31"/>
      <c r="HQ40" s="31"/>
      <c r="HR40" s="31"/>
      <c r="HS40" s="31"/>
      <c r="HT40" s="31"/>
      <c r="HU40" s="74"/>
      <c r="HV40" s="74"/>
      <c r="HW40" s="31"/>
      <c r="HX40" s="31"/>
      <c r="HY40" s="31"/>
      <c r="HZ40" s="31"/>
      <c r="IA40" s="31"/>
      <c r="IB40" s="74"/>
      <c r="IC40" s="74"/>
      <c r="ID40" s="31"/>
      <c r="IE40" s="31"/>
      <c r="IF40" s="31"/>
      <c r="IG40" s="31"/>
      <c r="IH40" s="31"/>
      <c r="II40" s="74"/>
      <c r="IJ40" s="74"/>
      <c r="IK40" s="31"/>
      <c r="IL40" s="31"/>
      <c r="IM40" s="31"/>
      <c r="IN40" s="31"/>
      <c r="IO40" s="31"/>
      <c r="IP40" s="74"/>
      <c r="IQ40" s="74"/>
      <c r="IR40" s="31"/>
      <c r="IS40" s="31"/>
      <c r="IT40" s="31"/>
      <c r="IU40" s="31"/>
      <c r="IV40" s="31"/>
      <c r="IW40" s="74"/>
      <c r="IX40" s="74"/>
      <c r="IY40" s="31"/>
      <c r="IZ40" s="31"/>
      <c r="JA40" s="31"/>
      <c r="JB40" s="31"/>
      <c r="JC40" s="31"/>
      <c r="JD40" s="74"/>
      <c r="JE40" s="74"/>
      <c r="JF40" s="31"/>
      <c r="JG40" s="31"/>
      <c r="JH40" s="31"/>
      <c r="JI40" s="31"/>
      <c r="JJ40" s="31"/>
      <c r="JK40" s="74"/>
      <c r="JL40" s="74"/>
      <c r="JM40" s="31"/>
      <c r="JN40" s="31"/>
      <c r="JO40" s="31"/>
      <c r="JP40" s="31"/>
      <c r="JQ40" s="31"/>
      <c r="JR40" s="74"/>
      <c r="JS40" s="74"/>
      <c r="JT40" s="31"/>
      <c r="JU40" s="31"/>
      <c r="JV40" s="31"/>
      <c r="JW40" s="31"/>
      <c r="JX40" s="31"/>
      <c r="JY40" s="74"/>
      <c r="JZ40" s="74"/>
      <c r="KA40" s="31"/>
      <c r="KB40" s="31"/>
      <c r="KC40" s="31"/>
      <c r="KD40" s="31"/>
      <c r="KE40" s="31"/>
      <c r="KF40" s="74"/>
      <c r="KG40" s="74"/>
      <c r="KH40" s="31"/>
      <c r="KI40" s="31"/>
      <c r="KJ40" s="31"/>
      <c r="KK40" s="31"/>
      <c r="KL40" s="31"/>
      <c r="KM40" s="74"/>
      <c r="KN40" s="74"/>
      <c r="KO40" s="31"/>
      <c r="KP40" s="31"/>
      <c r="KQ40" s="31"/>
      <c r="KR40" s="31"/>
      <c r="KS40" s="31"/>
      <c r="KT40" s="74"/>
      <c r="KU40" s="74"/>
      <c r="KV40" s="31"/>
      <c r="KW40" s="31"/>
      <c r="KX40" s="31"/>
      <c r="KY40" s="31"/>
      <c r="KZ40" s="31"/>
      <c r="LA40" s="74"/>
      <c r="LB40" s="74"/>
      <c r="LC40" s="31"/>
      <c r="LD40" s="31"/>
      <c r="LE40" s="31"/>
      <c r="LF40" s="31"/>
      <c r="LG40" s="31"/>
      <c r="LH40" s="74"/>
      <c r="LI40" s="74"/>
      <c r="LJ40" s="31"/>
      <c r="LK40" s="31"/>
      <c r="LL40" s="31"/>
      <c r="LM40" s="31"/>
      <c r="LN40" s="31"/>
      <c r="LO40" s="74"/>
      <c r="LP40" s="74"/>
      <c r="LQ40" s="31"/>
      <c r="LR40" s="31"/>
      <c r="LS40" s="31"/>
      <c r="LT40" s="31"/>
      <c r="LU40" s="31"/>
      <c r="LV40" s="74"/>
      <c r="LW40" s="74"/>
      <c r="LX40" s="31"/>
      <c r="LY40" s="31"/>
      <c r="LZ40" s="31"/>
      <c r="MA40" s="31"/>
      <c r="MB40" s="31"/>
      <c r="MC40" s="74"/>
      <c r="MD40" s="74"/>
      <c r="ME40" s="31"/>
      <c r="MF40" s="31"/>
      <c r="MG40" s="31"/>
      <c r="MH40" s="31"/>
      <c r="MI40" s="31"/>
      <c r="MJ40" s="74"/>
      <c r="MK40" s="74"/>
      <c r="ML40" s="31"/>
      <c r="MM40" s="31"/>
      <c r="MN40" s="31"/>
      <c r="MO40" s="31"/>
      <c r="MP40" s="31"/>
      <c r="MQ40" s="74"/>
      <c r="MR40" s="74"/>
      <c r="MS40" s="31"/>
      <c r="MT40" s="31"/>
      <c r="MU40" s="31"/>
      <c r="MV40" s="31"/>
      <c r="MW40" s="31"/>
      <c r="MX40" s="74"/>
      <c r="MY40" s="74"/>
      <c r="MZ40" s="31"/>
      <c r="NA40" s="31"/>
      <c r="NB40" s="31"/>
      <c r="NC40" s="31"/>
      <c r="ND40" s="31"/>
      <c r="NE40" s="74"/>
      <c r="NF40" s="74"/>
      <c r="NG40" s="31"/>
      <c r="NH40" s="31"/>
      <c r="NI40" s="31"/>
      <c r="NJ40" s="31"/>
      <c r="NK40" s="31"/>
      <c r="NL40" s="74"/>
      <c r="NM40" s="74"/>
      <c r="NN40" s="31"/>
      <c r="NO40" s="31"/>
      <c r="NP40" s="31"/>
      <c r="NQ40" s="31"/>
      <c r="NR40" s="31"/>
      <c r="NS40" s="74"/>
      <c r="NT40" s="74"/>
    </row>
    <row r="41" spans="2:384" s="29" customFormat="1" ht="9" customHeight="1" x14ac:dyDescent="0.2">
      <c r="B41" s="78"/>
      <c r="C41" s="35"/>
      <c r="D41" s="35"/>
      <c r="E41" s="75"/>
      <c r="F41" s="39"/>
      <c r="G41" s="75"/>
      <c r="H41" s="75"/>
      <c r="I41" s="40"/>
      <c r="J41" s="75"/>
      <c r="K41" s="35"/>
      <c r="L41" s="35"/>
      <c r="N41" s="31"/>
      <c r="O41" s="31"/>
      <c r="P41" s="31"/>
      <c r="Q41" s="31"/>
      <c r="R41" s="31"/>
      <c r="S41" s="74"/>
      <c r="T41" s="74"/>
      <c r="U41" s="31"/>
      <c r="V41" s="31"/>
      <c r="W41" s="31"/>
      <c r="X41" s="31"/>
      <c r="Y41" s="31"/>
      <c r="Z41" s="74"/>
      <c r="AA41" s="74"/>
      <c r="AB41" s="31"/>
      <c r="AC41" s="31"/>
      <c r="AD41" s="31"/>
      <c r="AE41" s="31"/>
      <c r="AF41" s="31"/>
      <c r="AG41" s="74"/>
      <c r="AH41" s="74"/>
      <c r="AI41" s="31"/>
      <c r="AJ41" s="31"/>
      <c r="AK41" s="31"/>
      <c r="AL41" s="31"/>
      <c r="AM41" s="31"/>
      <c r="AN41" s="74"/>
      <c r="AO41" s="74"/>
      <c r="AP41" s="31"/>
      <c r="AQ41" s="31"/>
      <c r="AR41" s="31"/>
      <c r="AS41" s="31"/>
      <c r="AT41" s="31"/>
      <c r="AU41" s="74"/>
      <c r="AV41" s="74"/>
      <c r="AW41" s="31"/>
      <c r="AX41" s="31"/>
      <c r="AY41" s="31"/>
      <c r="AZ41" s="31"/>
      <c r="BA41" s="31"/>
      <c r="BB41" s="74"/>
      <c r="BC41" s="74"/>
      <c r="BD41" s="31"/>
      <c r="BE41" s="31"/>
      <c r="BF41" s="31"/>
      <c r="BG41" s="31"/>
      <c r="BH41" s="31"/>
      <c r="BI41" s="74"/>
      <c r="BJ41" s="74"/>
      <c r="BK41" s="31"/>
      <c r="BL41" s="31"/>
      <c r="BM41" s="31"/>
      <c r="BN41" s="31"/>
      <c r="BO41" s="31"/>
      <c r="BP41" s="74"/>
      <c r="BQ41" s="74"/>
      <c r="BR41" s="31"/>
      <c r="BS41" s="31"/>
      <c r="BT41" s="31"/>
      <c r="BU41" s="31"/>
      <c r="BV41" s="31"/>
      <c r="BW41" s="74"/>
      <c r="BX41" s="74"/>
      <c r="BY41" s="31"/>
      <c r="BZ41" s="31"/>
      <c r="CA41" s="31"/>
      <c r="CB41" s="31"/>
      <c r="CC41" s="31"/>
      <c r="CD41" s="74"/>
      <c r="CE41" s="74"/>
      <c r="CF41" s="31"/>
      <c r="CG41" s="31"/>
      <c r="CH41" s="31"/>
      <c r="CI41" s="31"/>
      <c r="CJ41" s="31"/>
      <c r="CK41" s="74"/>
      <c r="CL41" s="74"/>
      <c r="CM41" s="31"/>
      <c r="CN41" s="31"/>
      <c r="CO41" s="31"/>
      <c r="CP41" s="31"/>
      <c r="CQ41" s="31"/>
      <c r="CR41" s="74"/>
      <c r="CS41" s="74"/>
      <c r="CT41" s="31"/>
      <c r="CU41" s="31"/>
      <c r="CV41" s="31"/>
      <c r="CW41" s="31"/>
      <c r="CX41" s="31"/>
      <c r="CY41" s="74"/>
      <c r="CZ41" s="74"/>
      <c r="DA41" s="31"/>
      <c r="DB41" s="31"/>
      <c r="DC41" s="31"/>
      <c r="DD41" s="31"/>
      <c r="DE41" s="31"/>
      <c r="DF41" s="74"/>
      <c r="DG41" s="74"/>
      <c r="DH41" s="31"/>
      <c r="DI41" s="31"/>
      <c r="DJ41" s="31"/>
      <c r="DK41" s="31"/>
      <c r="DL41" s="31"/>
      <c r="DM41" s="74"/>
      <c r="DN41" s="74"/>
      <c r="DO41" s="31"/>
      <c r="DP41" s="77"/>
      <c r="DQ41" s="31"/>
      <c r="DR41" s="31"/>
      <c r="DS41" s="31"/>
      <c r="DT41" s="74"/>
      <c r="DU41" s="74"/>
      <c r="DV41" s="31"/>
      <c r="DW41" s="31"/>
      <c r="DX41" s="31"/>
      <c r="DY41" s="31"/>
      <c r="DZ41" s="31"/>
      <c r="EA41" s="74"/>
      <c r="EB41" s="74"/>
      <c r="EC41" s="31"/>
      <c r="ED41" s="31"/>
      <c r="EE41" s="31"/>
      <c r="EF41" s="31"/>
      <c r="EG41" s="31"/>
      <c r="EH41" s="74"/>
      <c r="EI41" s="74"/>
      <c r="EJ41" s="31"/>
      <c r="EK41" s="31"/>
      <c r="EL41" s="31"/>
      <c r="EM41" s="31"/>
      <c r="EN41" s="31"/>
      <c r="EO41" s="74"/>
      <c r="EP41" s="74"/>
      <c r="EQ41" s="31"/>
      <c r="ER41" s="31"/>
      <c r="ES41" s="31"/>
      <c r="ET41" s="31"/>
      <c r="EU41" s="31"/>
      <c r="EV41" s="74"/>
      <c r="EW41" s="74"/>
      <c r="EX41" s="31"/>
      <c r="EY41" s="31"/>
      <c r="EZ41" s="31"/>
      <c r="FA41" s="31"/>
      <c r="FB41" s="31"/>
      <c r="FC41" s="74"/>
      <c r="FD41" s="74"/>
      <c r="FE41" s="31"/>
      <c r="FF41" s="31"/>
      <c r="FG41" s="31"/>
      <c r="FH41" s="31"/>
      <c r="FI41" s="31"/>
      <c r="FJ41" s="74"/>
      <c r="FK41" s="74"/>
      <c r="FL41" s="31"/>
      <c r="FM41" s="31"/>
      <c r="FN41" s="31"/>
      <c r="FO41" s="31"/>
      <c r="FP41" s="31"/>
      <c r="FQ41" s="74"/>
      <c r="FR41" s="74"/>
      <c r="FS41" s="31"/>
      <c r="FT41" s="31"/>
      <c r="FU41" s="31"/>
      <c r="FV41" s="31"/>
      <c r="FW41" s="31"/>
      <c r="FX41" s="74"/>
      <c r="FY41" s="74"/>
      <c r="FZ41" s="31"/>
      <c r="GA41" s="31"/>
      <c r="GB41" s="31"/>
      <c r="GC41" s="31"/>
      <c r="GD41" s="31"/>
      <c r="GE41" s="74"/>
      <c r="GF41" s="74"/>
      <c r="GG41" s="31"/>
      <c r="GH41" s="31"/>
      <c r="GI41" s="31"/>
      <c r="GJ41" s="31"/>
      <c r="GK41" s="31"/>
      <c r="GL41" s="74"/>
      <c r="GM41" s="74"/>
      <c r="GN41" s="31"/>
      <c r="GO41" s="31"/>
      <c r="GP41" s="31"/>
      <c r="GQ41" s="31"/>
      <c r="GR41" s="31"/>
      <c r="GS41" s="74"/>
      <c r="GT41" s="74"/>
      <c r="GU41" s="31"/>
      <c r="GV41" s="31"/>
      <c r="GW41" s="31"/>
      <c r="GX41" s="31"/>
      <c r="GY41" s="31"/>
      <c r="GZ41" s="74"/>
      <c r="HA41" s="74"/>
      <c r="HB41" s="31"/>
      <c r="HC41" s="31"/>
      <c r="HD41" s="31"/>
      <c r="HE41" s="31"/>
      <c r="HF41" s="31"/>
      <c r="HG41" s="74"/>
      <c r="HH41" s="74"/>
      <c r="HI41" s="31"/>
      <c r="HJ41" s="31"/>
      <c r="HK41" s="31"/>
      <c r="HL41" s="31"/>
      <c r="HM41" s="31"/>
      <c r="HN41" s="74"/>
      <c r="HO41" s="74"/>
      <c r="HP41" s="31"/>
      <c r="HQ41" s="31"/>
      <c r="HR41" s="31"/>
      <c r="HS41" s="31"/>
      <c r="HT41" s="31"/>
      <c r="HU41" s="74"/>
      <c r="HV41" s="74"/>
      <c r="HW41" s="31"/>
      <c r="HX41" s="31"/>
      <c r="HY41" s="31"/>
      <c r="HZ41" s="31"/>
      <c r="IA41" s="31"/>
      <c r="IB41" s="74"/>
      <c r="IC41" s="74"/>
      <c r="ID41" s="31"/>
      <c r="IE41" s="31"/>
      <c r="IF41" s="31"/>
      <c r="IG41" s="31"/>
      <c r="IH41" s="31"/>
      <c r="II41" s="74"/>
      <c r="IJ41" s="74"/>
      <c r="IK41" s="31"/>
      <c r="IL41" s="31"/>
      <c r="IM41" s="31"/>
      <c r="IN41" s="31"/>
      <c r="IO41" s="31"/>
      <c r="IP41" s="74"/>
      <c r="IQ41" s="74"/>
      <c r="IR41" s="31"/>
      <c r="IS41" s="31"/>
      <c r="IT41" s="31"/>
      <c r="IU41" s="31"/>
      <c r="IV41" s="31"/>
      <c r="IW41" s="74"/>
      <c r="IX41" s="74"/>
      <c r="IY41" s="31"/>
      <c r="IZ41" s="31"/>
      <c r="JA41" s="31"/>
      <c r="JB41" s="31"/>
      <c r="JC41" s="31"/>
      <c r="JD41" s="74"/>
      <c r="JE41" s="74"/>
      <c r="JF41" s="31"/>
      <c r="JG41" s="31"/>
      <c r="JH41" s="31"/>
      <c r="JI41" s="31"/>
      <c r="JJ41" s="31"/>
      <c r="JK41" s="74"/>
      <c r="JL41" s="74"/>
      <c r="JM41" s="31"/>
      <c r="JN41" s="31"/>
      <c r="JO41" s="31"/>
      <c r="JP41" s="31"/>
      <c r="JQ41" s="31"/>
      <c r="JR41" s="74"/>
      <c r="JS41" s="74"/>
      <c r="JT41" s="31"/>
      <c r="JU41" s="31"/>
      <c r="JV41" s="31"/>
      <c r="JW41" s="31"/>
      <c r="JX41" s="31"/>
      <c r="JY41" s="74"/>
      <c r="JZ41" s="74"/>
      <c r="KA41" s="31"/>
      <c r="KB41" s="31"/>
      <c r="KC41" s="31"/>
      <c r="KD41" s="31"/>
      <c r="KE41" s="31"/>
      <c r="KF41" s="74"/>
      <c r="KG41" s="74"/>
      <c r="KH41" s="31"/>
      <c r="KI41" s="31"/>
      <c r="KJ41" s="31"/>
      <c r="KK41" s="31"/>
      <c r="KL41" s="31"/>
      <c r="KM41" s="74"/>
      <c r="KN41" s="74"/>
      <c r="KO41" s="31"/>
      <c r="KP41" s="31"/>
      <c r="KQ41" s="31"/>
      <c r="KR41" s="31"/>
      <c r="KS41" s="31"/>
      <c r="KT41" s="74"/>
      <c r="KU41" s="74"/>
      <c r="KV41" s="31"/>
      <c r="KW41" s="31"/>
      <c r="KX41" s="31"/>
      <c r="KY41" s="31"/>
      <c r="KZ41" s="31"/>
      <c r="LA41" s="74"/>
      <c r="LB41" s="74"/>
      <c r="LC41" s="31"/>
      <c r="LD41" s="31"/>
      <c r="LE41" s="31"/>
      <c r="LF41" s="31"/>
      <c r="LG41" s="31"/>
      <c r="LH41" s="74"/>
      <c r="LI41" s="74"/>
      <c r="LJ41" s="31"/>
      <c r="LK41" s="31"/>
      <c r="LL41" s="31"/>
      <c r="LM41" s="31"/>
      <c r="LN41" s="31"/>
      <c r="LO41" s="74"/>
      <c r="LP41" s="74"/>
      <c r="LQ41" s="31"/>
      <c r="LR41" s="31"/>
      <c r="LS41" s="31"/>
      <c r="LT41" s="31"/>
      <c r="LU41" s="31"/>
      <c r="LV41" s="74"/>
      <c r="LW41" s="74"/>
      <c r="LX41" s="31"/>
      <c r="LY41" s="31"/>
      <c r="LZ41" s="31"/>
      <c r="MA41" s="31"/>
      <c r="MB41" s="31"/>
      <c r="MC41" s="74"/>
      <c r="MD41" s="74"/>
      <c r="ME41" s="31"/>
      <c r="MF41" s="31"/>
      <c r="MG41" s="31"/>
      <c r="MH41" s="31"/>
      <c r="MI41" s="31"/>
      <c r="MJ41" s="74"/>
      <c r="MK41" s="74"/>
      <c r="ML41" s="31"/>
      <c r="MM41" s="31"/>
      <c r="MN41" s="31"/>
      <c r="MO41" s="31"/>
      <c r="MP41" s="31"/>
      <c r="MQ41" s="74"/>
      <c r="MR41" s="74"/>
      <c r="MS41" s="31"/>
      <c r="MT41" s="31"/>
      <c r="MU41" s="31"/>
      <c r="MV41" s="31"/>
      <c r="MW41" s="31"/>
      <c r="MX41" s="74"/>
      <c r="MY41" s="74"/>
      <c r="MZ41" s="31"/>
      <c r="NA41" s="31"/>
      <c r="NB41" s="31"/>
      <c r="NC41" s="31"/>
      <c r="ND41" s="31"/>
      <c r="NE41" s="74"/>
      <c r="NF41" s="74"/>
      <c r="NG41" s="31"/>
      <c r="NH41" s="31"/>
      <c r="NI41" s="31"/>
      <c r="NJ41" s="31"/>
      <c r="NK41" s="31"/>
      <c r="NL41" s="74"/>
      <c r="NM41" s="74"/>
      <c r="NN41" s="31"/>
      <c r="NO41" s="31"/>
      <c r="NP41" s="31"/>
      <c r="NQ41" s="31"/>
      <c r="NR41" s="31"/>
      <c r="NS41" s="74"/>
      <c r="NT41" s="74"/>
    </row>
    <row r="42" spans="2:384" s="29" customFormat="1" ht="9" customHeight="1" x14ac:dyDescent="0.2">
      <c r="B42" s="78"/>
      <c r="C42" s="35"/>
      <c r="D42" s="35"/>
      <c r="E42" s="75"/>
      <c r="F42" s="39"/>
      <c r="G42" s="75"/>
      <c r="H42" s="75"/>
      <c r="I42" s="40"/>
      <c r="J42" s="75"/>
      <c r="K42" s="35"/>
      <c r="L42" s="35"/>
      <c r="N42" s="31"/>
      <c r="O42" s="31"/>
      <c r="P42" s="31"/>
      <c r="Q42" s="31"/>
      <c r="R42" s="31"/>
      <c r="S42" s="74"/>
      <c r="T42" s="74"/>
      <c r="U42" s="31"/>
      <c r="V42" s="31"/>
      <c r="W42" s="31"/>
      <c r="X42" s="31"/>
      <c r="Y42" s="31"/>
      <c r="Z42" s="74"/>
      <c r="AA42" s="74"/>
      <c r="AB42" s="31"/>
      <c r="AC42" s="31"/>
      <c r="AD42" s="31"/>
      <c r="AE42" s="31"/>
      <c r="AF42" s="31"/>
      <c r="AG42" s="74"/>
      <c r="AH42" s="74"/>
      <c r="AI42" s="31"/>
      <c r="AJ42" s="31"/>
      <c r="AK42" s="31"/>
      <c r="AL42" s="31"/>
      <c r="AM42" s="31"/>
      <c r="AN42" s="74"/>
      <c r="AO42" s="74"/>
      <c r="AP42" s="31"/>
      <c r="AQ42" s="31"/>
      <c r="AR42" s="31"/>
      <c r="AS42" s="31"/>
      <c r="AT42" s="31"/>
      <c r="AU42" s="74"/>
      <c r="AV42" s="74"/>
      <c r="AW42" s="31"/>
      <c r="AX42" s="31"/>
      <c r="AY42" s="31"/>
      <c r="AZ42" s="31"/>
      <c r="BA42" s="31"/>
      <c r="BB42" s="74"/>
      <c r="BC42" s="74"/>
      <c r="BD42" s="31"/>
      <c r="BE42" s="31"/>
      <c r="BF42" s="31"/>
      <c r="BG42" s="31"/>
      <c r="BH42" s="31"/>
      <c r="BI42" s="74"/>
      <c r="BJ42" s="74"/>
      <c r="BK42" s="31"/>
      <c r="BL42" s="31"/>
      <c r="BM42" s="31"/>
      <c r="BN42" s="31"/>
      <c r="BO42" s="31"/>
      <c r="BP42" s="74"/>
      <c r="BQ42" s="74"/>
      <c r="BR42" s="31"/>
      <c r="BS42" s="31"/>
      <c r="BT42" s="31"/>
      <c r="BU42" s="31"/>
      <c r="BV42" s="31"/>
      <c r="BW42" s="74"/>
      <c r="BX42" s="74"/>
      <c r="BY42" s="31"/>
      <c r="BZ42" s="31"/>
      <c r="CA42" s="31"/>
      <c r="CB42" s="31"/>
      <c r="CC42" s="31"/>
      <c r="CD42" s="74"/>
      <c r="CE42" s="74"/>
      <c r="CF42" s="31"/>
      <c r="CG42" s="31"/>
      <c r="CH42" s="31"/>
      <c r="CI42" s="31"/>
      <c r="CJ42" s="31"/>
      <c r="CK42" s="74"/>
      <c r="CL42" s="74"/>
      <c r="CM42" s="31"/>
      <c r="CN42" s="31"/>
      <c r="CO42" s="31"/>
      <c r="CP42" s="31"/>
      <c r="CQ42" s="31"/>
      <c r="CR42" s="74"/>
      <c r="CS42" s="74"/>
      <c r="CT42" s="31"/>
      <c r="CU42" s="31"/>
      <c r="CV42" s="31"/>
      <c r="CW42" s="31"/>
      <c r="CX42" s="31"/>
      <c r="CY42" s="74"/>
      <c r="CZ42" s="74"/>
      <c r="DA42" s="31"/>
      <c r="DB42" s="31"/>
      <c r="DC42" s="31"/>
      <c r="DD42" s="31"/>
      <c r="DE42" s="31"/>
      <c r="DF42" s="74"/>
      <c r="DG42" s="74"/>
      <c r="DH42" s="31"/>
      <c r="DI42" s="31"/>
      <c r="DJ42" s="31"/>
      <c r="DK42" s="31"/>
      <c r="DL42" s="31"/>
      <c r="DM42" s="74"/>
      <c r="DN42" s="74"/>
      <c r="DO42" s="31"/>
      <c r="DP42" s="77"/>
      <c r="DQ42" s="31"/>
      <c r="DR42" s="31"/>
      <c r="DS42" s="31"/>
      <c r="DT42" s="74"/>
      <c r="DU42" s="74"/>
      <c r="DV42" s="31"/>
      <c r="DW42" s="31"/>
      <c r="DX42" s="31"/>
      <c r="DY42" s="31"/>
      <c r="DZ42" s="31"/>
      <c r="EA42" s="74"/>
      <c r="EB42" s="74"/>
      <c r="EC42" s="31"/>
      <c r="ED42" s="31"/>
      <c r="EE42" s="31"/>
      <c r="EF42" s="31"/>
      <c r="EG42" s="31"/>
      <c r="EH42" s="74"/>
      <c r="EI42" s="74"/>
      <c r="EJ42" s="31"/>
      <c r="EK42" s="31"/>
      <c r="EL42" s="31"/>
      <c r="EM42" s="31"/>
      <c r="EN42" s="31"/>
      <c r="EO42" s="74"/>
      <c r="EP42" s="74"/>
      <c r="EQ42" s="31"/>
      <c r="ER42" s="31"/>
      <c r="ES42" s="31"/>
      <c r="ET42" s="31"/>
      <c r="EU42" s="31"/>
      <c r="EV42" s="74"/>
      <c r="EW42" s="74"/>
      <c r="EX42" s="31"/>
      <c r="EY42" s="31"/>
      <c r="EZ42" s="31"/>
      <c r="FA42" s="31"/>
      <c r="FB42" s="31"/>
      <c r="FC42" s="74"/>
      <c r="FD42" s="74"/>
      <c r="FE42" s="31"/>
      <c r="FF42" s="31"/>
      <c r="FG42" s="31"/>
      <c r="FH42" s="31"/>
      <c r="FI42" s="31"/>
      <c r="FJ42" s="74"/>
      <c r="FK42" s="74"/>
      <c r="FL42" s="31"/>
      <c r="FM42" s="31"/>
      <c r="FN42" s="31"/>
      <c r="FO42" s="31"/>
      <c r="FP42" s="31"/>
      <c r="FQ42" s="74"/>
      <c r="FR42" s="74"/>
      <c r="FS42" s="31"/>
      <c r="FT42" s="31"/>
      <c r="FU42" s="31"/>
      <c r="FV42" s="31"/>
      <c r="FW42" s="31"/>
      <c r="FX42" s="74"/>
      <c r="FY42" s="74"/>
      <c r="FZ42" s="31"/>
      <c r="GA42" s="31"/>
      <c r="GB42" s="31"/>
      <c r="GC42" s="31"/>
      <c r="GD42" s="31"/>
      <c r="GE42" s="74"/>
      <c r="GF42" s="74"/>
      <c r="GG42" s="31"/>
      <c r="GH42" s="31"/>
      <c r="GI42" s="31"/>
      <c r="GJ42" s="31"/>
      <c r="GK42" s="31"/>
      <c r="GL42" s="74"/>
      <c r="GM42" s="74"/>
      <c r="GN42" s="31"/>
      <c r="GO42" s="31"/>
      <c r="GP42" s="31"/>
      <c r="GQ42" s="31"/>
      <c r="GR42" s="31"/>
      <c r="GS42" s="74"/>
      <c r="GT42" s="74"/>
      <c r="GU42" s="31"/>
      <c r="GV42" s="31"/>
      <c r="GW42" s="31"/>
      <c r="GX42" s="31"/>
      <c r="GY42" s="31"/>
      <c r="GZ42" s="74"/>
      <c r="HA42" s="74"/>
      <c r="HB42" s="31"/>
      <c r="HC42" s="31"/>
      <c r="HD42" s="31"/>
      <c r="HE42" s="31"/>
      <c r="HF42" s="31"/>
      <c r="HG42" s="74"/>
      <c r="HH42" s="74"/>
      <c r="HI42" s="31"/>
      <c r="HJ42" s="31"/>
      <c r="HK42" s="31"/>
      <c r="HL42" s="31"/>
      <c r="HM42" s="31"/>
      <c r="HN42" s="74"/>
      <c r="HO42" s="74"/>
      <c r="HP42" s="31"/>
      <c r="HQ42" s="31"/>
      <c r="HR42" s="31"/>
      <c r="HS42" s="31"/>
      <c r="HT42" s="31"/>
      <c r="HU42" s="74"/>
      <c r="HV42" s="74"/>
      <c r="HW42" s="31"/>
      <c r="HX42" s="31"/>
      <c r="HY42" s="31"/>
      <c r="HZ42" s="31"/>
      <c r="IA42" s="31"/>
      <c r="IB42" s="74"/>
      <c r="IC42" s="74"/>
      <c r="ID42" s="31"/>
      <c r="IE42" s="31"/>
      <c r="IF42" s="31"/>
      <c r="IG42" s="31"/>
      <c r="IH42" s="31"/>
      <c r="II42" s="74"/>
      <c r="IJ42" s="74"/>
      <c r="IK42" s="31"/>
      <c r="IL42" s="31"/>
      <c r="IM42" s="31"/>
      <c r="IN42" s="31"/>
      <c r="IO42" s="31"/>
      <c r="IP42" s="74"/>
      <c r="IQ42" s="74"/>
      <c r="IR42" s="31"/>
      <c r="IS42" s="31"/>
      <c r="IT42" s="31"/>
      <c r="IU42" s="31"/>
      <c r="IV42" s="31"/>
      <c r="IW42" s="74"/>
      <c r="IX42" s="74"/>
      <c r="IY42" s="31"/>
      <c r="IZ42" s="31"/>
      <c r="JA42" s="31"/>
      <c r="JB42" s="31"/>
      <c r="JC42" s="31"/>
      <c r="JD42" s="74"/>
      <c r="JE42" s="74"/>
      <c r="JF42" s="31"/>
      <c r="JG42" s="31"/>
      <c r="JH42" s="31"/>
      <c r="JI42" s="31"/>
      <c r="JJ42" s="31"/>
      <c r="JK42" s="74"/>
      <c r="JL42" s="74"/>
      <c r="JM42" s="31"/>
      <c r="JN42" s="31"/>
      <c r="JO42" s="31"/>
      <c r="JP42" s="31"/>
      <c r="JQ42" s="31"/>
      <c r="JR42" s="74"/>
      <c r="JS42" s="74"/>
      <c r="JT42" s="31"/>
      <c r="JU42" s="31"/>
      <c r="JV42" s="31"/>
      <c r="JW42" s="31"/>
      <c r="JX42" s="31"/>
      <c r="JY42" s="74"/>
      <c r="JZ42" s="74"/>
      <c r="KA42" s="31"/>
      <c r="KB42" s="31"/>
      <c r="KC42" s="31"/>
      <c r="KD42" s="31"/>
      <c r="KE42" s="31"/>
      <c r="KF42" s="74"/>
      <c r="KG42" s="74"/>
      <c r="KH42" s="31"/>
      <c r="KI42" s="31"/>
      <c r="KJ42" s="31"/>
      <c r="KK42" s="31"/>
      <c r="KL42" s="31"/>
      <c r="KM42" s="74"/>
      <c r="KN42" s="74"/>
      <c r="KO42" s="31"/>
      <c r="KP42" s="31"/>
      <c r="KQ42" s="31"/>
      <c r="KR42" s="31"/>
      <c r="KS42" s="31"/>
      <c r="KT42" s="74"/>
      <c r="KU42" s="74"/>
      <c r="KV42" s="31"/>
      <c r="KW42" s="31"/>
      <c r="KX42" s="31"/>
      <c r="KY42" s="31"/>
      <c r="KZ42" s="31"/>
      <c r="LA42" s="74"/>
      <c r="LB42" s="74"/>
      <c r="LC42" s="31"/>
      <c r="LD42" s="31"/>
      <c r="LE42" s="31"/>
      <c r="LF42" s="31"/>
      <c r="LG42" s="31"/>
      <c r="LH42" s="74"/>
      <c r="LI42" s="74"/>
      <c r="LJ42" s="31"/>
      <c r="LK42" s="31"/>
      <c r="LL42" s="31"/>
      <c r="LM42" s="31"/>
      <c r="LN42" s="31"/>
      <c r="LO42" s="74"/>
      <c r="LP42" s="74"/>
      <c r="LQ42" s="31"/>
      <c r="LR42" s="31"/>
      <c r="LS42" s="31"/>
      <c r="LT42" s="31"/>
      <c r="LU42" s="31"/>
      <c r="LV42" s="74"/>
      <c r="LW42" s="74"/>
      <c r="LX42" s="31"/>
      <c r="LY42" s="31"/>
      <c r="LZ42" s="31"/>
      <c r="MA42" s="31"/>
      <c r="MB42" s="31"/>
      <c r="MC42" s="74"/>
      <c r="MD42" s="74"/>
      <c r="ME42" s="31"/>
      <c r="MF42" s="31"/>
      <c r="MG42" s="31"/>
      <c r="MH42" s="31"/>
      <c r="MI42" s="31"/>
      <c r="MJ42" s="74"/>
      <c r="MK42" s="74"/>
      <c r="ML42" s="31"/>
      <c r="MM42" s="31"/>
      <c r="MN42" s="31"/>
      <c r="MO42" s="31"/>
      <c r="MP42" s="31"/>
      <c r="MQ42" s="74"/>
      <c r="MR42" s="74"/>
      <c r="MS42" s="31"/>
      <c r="MT42" s="31"/>
      <c r="MU42" s="31"/>
      <c r="MV42" s="31"/>
      <c r="MW42" s="31"/>
      <c r="MX42" s="74"/>
      <c r="MY42" s="74"/>
      <c r="MZ42" s="31"/>
      <c r="NA42" s="31"/>
      <c r="NB42" s="31"/>
      <c r="NC42" s="31"/>
      <c r="ND42" s="31"/>
      <c r="NE42" s="74"/>
      <c r="NF42" s="74"/>
      <c r="NG42" s="31"/>
      <c r="NH42" s="31"/>
      <c r="NI42" s="31"/>
      <c r="NJ42" s="31"/>
      <c r="NK42" s="31"/>
      <c r="NL42" s="74"/>
      <c r="NM42" s="74"/>
      <c r="NN42" s="31"/>
      <c r="NO42" s="31"/>
      <c r="NP42" s="31"/>
      <c r="NQ42" s="31"/>
      <c r="NR42" s="31"/>
      <c r="NS42" s="74"/>
      <c r="NT42" s="74"/>
    </row>
    <row r="43" spans="2:384" s="29" customFormat="1" ht="9" customHeight="1" x14ac:dyDescent="0.2">
      <c r="B43" s="78"/>
      <c r="C43" s="35"/>
      <c r="D43" s="35"/>
      <c r="E43" s="75"/>
      <c r="F43" s="39"/>
      <c r="G43" s="75"/>
      <c r="H43" s="75"/>
      <c r="I43" s="40"/>
      <c r="J43" s="75"/>
      <c r="K43" s="35"/>
      <c r="L43" s="35"/>
      <c r="N43" s="31"/>
      <c r="O43" s="31"/>
      <c r="P43" s="31"/>
      <c r="Q43" s="31"/>
      <c r="R43" s="31"/>
      <c r="S43" s="74"/>
      <c r="T43" s="74"/>
      <c r="U43" s="31"/>
      <c r="V43" s="31"/>
      <c r="W43" s="31"/>
      <c r="X43" s="31"/>
      <c r="Y43" s="31"/>
      <c r="Z43" s="74"/>
      <c r="AA43" s="74"/>
      <c r="AB43" s="31"/>
      <c r="AC43" s="31"/>
      <c r="AD43" s="31"/>
      <c r="AE43" s="31"/>
      <c r="AF43" s="31"/>
      <c r="AG43" s="74"/>
      <c r="AH43" s="74"/>
      <c r="AI43" s="31"/>
      <c r="AJ43" s="31"/>
      <c r="AK43" s="31"/>
      <c r="AL43" s="31"/>
      <c r="AM43" s="31"/>
      <c r="AN43" s="74"/>
      <c r="AO43" s="74"/>
      <c r="AP43" s="31"/>
      <c r="AQ43" s="31"/>
      <c r="AR43" s="31"/>
      <c r="AS43" s="31"/>
      <c r="AT43" s="31"/>
      <c r="AU43" s="74"/>
      <c r="AV43" s="74"/>
      <c r="AW43" s="31"/>
      <c r="AX43" s="31"/>
      <c r="AY43" s="31"/>
      <c r="AZ43" s="31"/>
      <c r="BA43" s="31"/>
      <c r="BB43" s="74"/>
      <c r="BC43" s="74"/>
      <c r="BD43" s="31"/>
      <c r="BE43" s="31"/>
      <c r="BF43" s="31"/>
      <c r="BG43" s="31"/>
      <c r="BH43" s="31"/>
      <c r="BI43" s="74"/>
      <c r="BJ43" s="74"/>
      <c r="BK43" s="31"/>
      <c r="BL43" s="31"/>
      <c r="BM43" s="31"/>
      <c r="BN43" s="31"/>
      <c r="BO43" s="31"/>
      <c r="BP43" s="74"/>
      <c r="BQ43" s="74"/>
      <c r="BR43" s="31"/>
      <c r="BS43" s="31"/>
      <c r="BT43" s="31"/>
      <c r="BU43" s="31"/>
      <c r="BV43" s="31"/>
      <c r="BW43" s="74"/>
      <c r="BX43" s="74"/>
      <c r="BY43" s="31"/>
      <c r="BZ43" s="31"/>
      <c r="CA43" s="31"/>
      <c r="CB43" s="31"/>
      <c r="CC43" s="31"/>
      <c r="CD43" s="74"/>
      <c r="CE43" s="74"/>
      <c r="CF43" s="31"/>
      <c r="CG43" s="31"/>
      <c r="CH43" s="31"/>
      <c r="CI43" s="31"/>
      <c r="CJ43" s="31"/>
      <c r="CK43" s="74"/>
      <c r="CL43" s="74"/>
      <c r="CM43" s="31"/>
      <c r="CN43" s="31"/>
      <c r="CO43" s="31"/>
      <c r="CP43" s="31"/>
      <c r="CQ43" s="31"/>
      <c r="CR43" s="74"/>
      <c r="CS43" s="74"/>
      <c r="CT43" s="31"/>
      <c r="CU43" s="31"/>
      <c r="CV43" s="31"/>
      <c r="CW43" s="31"/>
      <c r="CX43" s="31"/>
      <c r="CY43" s="74"/>
      <c r="CZ43" s="74"/>
      <c r="DA43" s="31"/>
      <c r="DB43" s="31"/>
      <c r="DC43" s="31"/>
      <c r="DD43" s="31"/>
      <c r="DE43" s="31"/>
      <c r="DF43" s="74"/>
      <c r="DG43" s="74"/>
      <c r="DH43" s="31"/>
      <c r="DI43" s="31"/>
      <c r="DJ43" s="31"/>
      <c r="DK43" s="31"/>
      <c r="DL43" s="31"/>
      <c r="DM43" s="74"/>
      <c r="DN43" s="74"/>
      <c r="DO43" s="31"/>
      <c r="DP43" s="77"/>
      <c r="DQ43" s="31"/>
      <c r="DR43" s="31"/>
      <c r="DS43" s="31"/>
      <c r="DT43" s="74"/>
      <c r="DU43" s="74"/>
      <c r="DV43" s="31"/>
      <c r="DW43" s="31"/>
      <c r="DX43" s="31"/>
      <c r="DY43" s="31"/>
      <c r="DZ43" s="31"/>
      <c r="EA43" s="74"/>
      <c r="EB43" s="74"/>
      <c r="EC43" s="31"/>
      <c r="ED43" s="31"/>
      <c r="EE43" s="31"/>
      <c r="EF43" s="31"/>
      <c r="EG43" s="31"/>
      <c r="EH43" s="74"/>
      <c r="EI43" s="74"/>
      <c r="EJ43" s="31"/>
      <c r="EK43" s="31"/>
      <c r="EL43" s="31"/>
      <c r="EM43" s="31"/>
      <c r="EN43" s="31"/>
      <c r="EO43" s="74"/>
      <c r="EP43" s="74"/>
      <c r="EQ43" s="31"/>
      <c r="ER43" s="31"/>
      <c r="ES43" s="31"/>
      <c r="ET43" s="31"/>
      <c r="EU43" s="31"/>
      <c r="EV43" s="74"/>
      <c r="EW43" s="74"/>
      <c r="EX43" s="31"/>
      <c r="EY43" s="31"/>
      <c r="EZ43" s="31"/>
      <c r="FA43" s="31"/>
      <c r="FB43" s="31"/>
      <c r="FC43" s="74"/>
      <c r="FD43" s="74"/>
      <c r="FE43" s="31"/>
      <c r="FF43" s="31"/>
      <c r="FG43" s="31"/>
      <c r="FH43" s="31"/>
      <c r="FI43" s="31"/>
      <c r="FJ43" s="74"/>
      <c r="FK43" s="74"/>
      <c r="FL43" s="31"/>
      <c r="FM43" s="31"/>
      <c r="FN43" s="31"/>
      <c r="FO43" s="31"/>
      <c r="FP43" s="31"/>
      <c r="FQ43" s="74"/>
      <c r="FR43" s="74"/>
      <c r="FS43" s="31"/>
      <c r="FT43" s="31"/>
      <c r="FU43" s="31"/>
      <c r="FV43" s="31"/>
      <c r="FW43" s="31"/>
      <c r="FX43" s="74"/>
      <c r="FY43" s="74"/>
      <c r="FZ43" s="31"/>
      <c r="GA43" s="31"/>
      <c r="GB43" s="31"/>
      <c r="GC43" s="31"/>
      <c r="GD43" s="31"/>
      <c r="GE43" s="74"/>
      <c r="GF43" s="74"/>
      <c r="GG43" s="31"/>
      <c r="GH43" s="31"/>
      <c r="GI43" s="31"/>
      <c r="GJ43" s="31"/>
      <c r="GK43" s="31"/>
      <c r="GL43" s="74"/>
      <c r="GM43" s="74"/>
      <c r="GN43" s="31"/>
      <c r="GO43" s="31"/>
      <c r="GP43" s="31"/>
      <c r="GQ43" s="31"/>
      <c r="GR43" s="31"/>
      <c r="GS43" s="74"/>
      <c r="GT43" s="74"/>
      <c r="GU43" s="31"/>
      <c r="GV43" s="31"/>
      <c r="GW43" s="31"/>
      <c r="GX43" s="31"/>
      <c r="GY43" s="31"/>
      <c r="GZ43" s="74"/>
      <c r="HA43" s="74"/>
      <c r="HB43" s="31"/>
      <c r="HC43" s="31"/>
      <c r="HD43" s="31"/>
      <c r="HE43" s="31"/>
      <c r="HF43" s="31"/>
      <c r="HG43" s="74"/>
      <c r="HH43" s="74"/>
      <c r="HI43" s="31"/>
      <c r="HJ43" s="31"/>
      <c r="HK43" s="31"/>
      <c r="HL43" s="31"/>
      <c r="HM43" s="31"/>
      <c r="HN43" s="74"/>
      <c r="HO43" s="74"/>
      <c r="HP43" s="31"/>
      <c r="HQ43" s="31"/>
      <c r="HR43" s="31"/>
      <c r="HS43" s="31"/>
      <c r="HT43" s="31"/>
      <c r="HU43" s="74"/>
      <c r="HV43" s="74"/>
      <c r="HW43" s="31"/>
      <c r="HX43" s="31"/>
      <c r="HY43" s="31"/>
      <c r="HZ43" s="31"/>
      <c r="IA43" s="31"/>
      <c r="IB43" s="74"/>
      <c r="IC43" s="74"/>
      <c r="ID43" s="31"/>
      <c r="IE43" s="31"/>
      <c r="IF43" s="31"/>
      <c r="IG43" s="31"/>
      <c r="IH43" s="31"/>
      <c r="II43" s="74"/>
      <c r="IJ43" s="74"/>
      <c r="IK43" s="31"/>
      <c r="IL43" s="31"/>
      <c r="IM43" s="31"/>
      <c r="IN43" s="31"/>
      <c r="IO43" s="31"/>
      <c r="IP43" s="74"/>
      <c r="IQ43" s="74"/>
      <c r="IR43" s="31"/>
      <c r="IS43" s="31"/>
      <c r="IT43" s="31"/>
      <c r="IU43" s="31"/>
      <c r="IV43" s="31"/>
      <c r="IW43" s="74"/>
      <c r="IX43" s="74"/>
      <c r="IY43" s="31"/>
      <c r="IZ43" s="31"/>
      <c r="JA43" s="31"/>
      <c r="JB43" s="31"/>
      <c r="JC43" s="31"/>
      <c r="JD43" s="74"/>
      <c r="JE43" s="74"/>
      <c r="JF43" s="31"/>
      <c r="JG43" s="31"/>
      <c r="JH43" s="31"/>
      <c r="JI43" s="31"/>
      <c r="JJ43" s="31"/>
      <c r="JK43" s="74"/>
      <c r="JL43" s="74"/>
      <c r="JM43" s="31"/>
      <c r="JN43" s="31"/>
      <c r="JO43" s="31"/>
      <c r="JP43" s="31"/>
      <c r="JQ43" s="31"/>
      <c r="JR43" s="74"/>
      <c r="JS43" s="74"/>
      <c r="JT43" s="31"/>
      <c r="JU43" s="31"/>
      <c r="JV43" s="31"/>
      <c r="JW43" s="31"/>
      <c r="JX43" s="31"/>
      <c r="JY43" s="74"/>
      <c r="JZ43" s="74"/>
      <c r="KA43" s="31"/>
      <c r="KB43" s="31"/>
      <c r="KC43" s="31"/>
      <c r="KD43" s="31"/>
      <c r="KE43" s="31"/>
      <c r="KF43" s="74"/>
      <c r="KG43" s="74"/>
      <c r="KH43" s="31"/>
      <c r="KI43" s="31"/>
      <c r="KJ43" s="31"/>
      <c r="KK43" s="31"/>
      <c r="KL43" s="31"/>
      <c r="KM43" s="74"/>
      <c r="KN43" s="74"/>
      <c r="KO43" s="31"/>
      <c r="KP43" s="31"/>
      <c r="KQ43" s="31"/>
      <c r="KR43" s="31"/>
      <c r="KS43" s="31"/>
      <c r="KT43" s="74"/>
      <c r="KU43" s="74"/>
      <c r="KV43" s="31"/>
      <c r="KW43" s="31"/>
      <c r="KX43" s="31"/>
      <c r="KY43" s="31"/>
      <c r="KZ43" s="31"/>
      <c r="LA43" s="74"/>
      <c r="LB43" s="74"/>
      <c r="LC43" s="31"/>
      <c r="LD43" s="31"/>
      <c r="LE43" s="31"/>
      <c r="LF43" s="31"/>
      <c r="LG43" s="31"/>
      <c r="LH43" s="74"/>
      <c r="LI43" s="74"/>
      <c r="LJ43" s="31"/>
      <c r="LK43" s="31"/>
      <c r="LL43" s="31"/>
      <c r="LM43" s="31"/>
      <c r="LN43" s="31"/>
      <c r="LO43" s="74"/>
      <c r="LP43" s="74"/>
      <c r="LQ43" s="31"/>
      <c r="LR43" s="31"/>
      <c r="LS43" s="31"/>
      <c r="LT43" s="31"/>
      <c r="LU43" s="31"/>
      <c r="LV43" s="74"/>
      <c r="LW43" s="74"/>
      <c r="LX43" s="31"/>
      <c r="LY43" s="31"/>
      <c r="LZ43" s="31"/>
      <c r="MA43" s="31"/>
      <c r="MB43" s="31"/>
      <c r="MC43" s="74"/>
      <c r="MD43" s="74"/>
      <c r="ME43" s="31"/>
      <c r="MF43" s="31"/>
      <c r="MG43" s="31"/>
      <c r="MH43" s="31"/>
      <c r="MI43" s="31"/>
      <c r="MJ43" s="74"/>
      <c r="MK43" s="74"/>
      <c r="ML43" s="31"/>
      <c r="MM43" s="31"/>
      <c r="MN43" s="31"/>
      <c r="MO43" s="31"/>
      <c r="MP43" s="31"/>
      <c r="MQ43" s="74"/>
      <c r="MR43" s="74"/>
      <c r="MS43" s="31"/>
      <c r="MT43" s="31"/>
      <c r="MU43" s="31"/>
      <c r="MV43" s="31"/>
      <c r="MW43" s="31"/>
      <c r="MX43" s="74"/>
      <c r="MY43" s="74"/>
      <c r="MZ43" s="31"/>
      <c r="NA43" s="31"/>
      <c r="NB43" s="31"/>
      <c r="NC43" s="31"/>
      <c r="ND43" s="31"/>
      <c r="NE43" s="74"/>
      <c r="NF43" s="74"/>
      <c r="NG43" s="31"/>
      <c r="NH43" s="31"/>
      <c r="NI43" s="31"/>
      <c r="NJ43" s="31"/>
      <c r="NK43" s="31"/>
      <c r="NL43" s="74"/>
      <c r="NM43" s="74"/>
      <c r="NN43" s="31"/>
      <c r="NO43" s="31"/>
      <c r="NP43" s="31"/>
      <c r="NQ43" s="31"/>
      <c r="NR43" s="31"/>
      <c r="NS43" s="74"/>
      <c r="NT43" s="74"/>
    </row>
    <row r="44" spans="2:384" s="29" customFormat="1" ht="12.75" x14ac:dyDescent="0.2">
      <c r="B44" s="80"/>
      <c r="E44" s="30"/>
      <c r="G44" s="30"/>
    </row>
    <row r="45" spans="2:384" s="29" customFormat="1" ht="12.75" x14ac:dyDescent="0.2">
      <c r="B45" s="80"/>
      <c r="E45" s="30"/>
      <c r="G45" s="30"/>
    </row>
    <row r="46" spans="2:384" s="29" customFormat="1" ht="12.75" x14ac:dyDescent="0.2">
      <c r="B46" s="80"/>
      <c r="E46" s="30"/>
      <c r="G46" s="30"/>
    </row>
    <row r="47" spans="2:384" s="29" customFormat="1" ht="12.75" x14ac:dyDescent="0.2">
      <c r="B47" s="80"/>
      <c r="E47" s="30"/>
      <c r="G47" s="30"/>
    </row>
    <row r="48" spans="2:384" s="29" customFormat="1" ht="12.75" x14ac:dyDescent="0.2">
      <c r="B48" s="80"/>
      <c r="E48" s="30"/>
      <c r="G48" s="30"/>
    </row>
    <row r="49" spans="2:7" s="29" customFormat="1" ht="12.75" x14ac:dyDescent="0.2">
      <c r="B49" s="80"/>
      <c r="E49" s="30"/>
      <c r="G49" s="30"/>
    </row>
    <row r="50" spans="2:7" s="29" customFormat="1" ht="12.75" x14ac:dyDescent="0.2">
      <c r="B50" s="80"/>
      <c r="E50" s="30"/>
      <c r="G50" s="30"/>
    </row>
    <row r="51" spans="2:7" s="29" customFormat="1" ht="12.75" x14ac:dyDescent="0.2">
      <c r="B51" s="80"/>
      <c r="E51" s="30"/>
      <c r="G51" s="30"/>
    </row>
    <row r="52" spans="2:7" s="29" customFormat="1" ht="12.75" x14ac:dyDescent="0.2">
      <c r="B52" s="80"/>
      <c r="E52" s="30"/>
      <c r="G52" s="30"/>
    </row>
    <row r="53" spans="2:7" s="29" customFormat="1" ht="12.75" x14ac:dyDescent="0.2">
      <c r="B53" s="80"/>
      <c r="E53" s="30"/>
      <c r="G53" s="30"/>
    </row>
    <row r="54" spans="2:7" s="29" customFormat="1" ht="12.75" x14ac:dyDescent="0.2">
      <c r="B54" s="80"/>
      <c r="E54" s="30"/>
      <c r="G54" s="30"/>
    </row>
    <row r="55" spans="2:7" s="29" customFormat="1" ht="12.75" x14ac:dyDescent="0.2">
      <c r="B55" s="80"/>
      <c r="E55" s="30"/>
      <c r="G55" s="30"/>
    </row>
    <row r="56" spans="2:7" s="29" customFormat="1" ht="12.75" x14ac:dyDescent="0.2">
      <c r="B56" s="80"/>
      <c r="E56" s="30"/>
      <c r="G56" s="30"/>
    </row>
    <row r="57" spans="2:7" s="29" customFormat="1" ht="12.75" x14ac:dyDescent="0.2">
      <c r="B57" s="80"/>
      <c r="E57" s="30"/>
      <c r="G57" s="30"/>
    </row>
    <row r="58" spans="2:7" s="29" customFormat="1" ht="12.75" x14ac:dyDescent="0.2">
      <c r="B58" s="80"/>
      <c r="E58" s="30"/>
      <c r="G58" s="30"/>
    </row>
    <row r="59" spans="2:7" s="29" customFormat="1" ht="12.75" x14ac:dyDescent="0.2">
      <c r="B59" s="80"/>
      <c r="E59" s="30"/>
      <c r="G59" s="30"/>
    </row>
    <row r="60" spans="2:7" s="29" customFormat="1" ht="12.75" x14ac:dyDescent="0.2">
      <c r="B60" s="80"/>
      <c r="E60" s="30"/>
      <c r="G60" s="30"/>
    </row>
    <row r="61" spans="2:7" s="29" customFormat="1" ht="12.75" x14ac:dyDescent="0.2">
      <c r="B61" s="80"/>
      <c r="E61" s="30"/>
      <c r="G61" s="30"/>
    </row>
    <row r="62" spans="2:7" s="29" customFormat="1" ht="12.75" x14ac:dyDescent="0.2">
      <c r="B62" s="80"/>
      <c r="E62" s="30"/>
      <c r="G62" s="30"/>
    </row>
    <row r="63" spans="2:7" s="29" customFormat="1" ht="12.75" x14ac:dyDescent="0.2">
      <c r="B63" s="80"/>
      <c r="E63" s="30"/>
      <c r="G63" s="30"/>
    </row>
    <row r="64" spans="2:7" s="29" customFormat="1" ht="12.75" x14ac:dyDescent="0.2">
      <c r="B64" s="80"/>
      <c r="E64" s="30"/>
      <c r="G64" s="30"/>
    </row>
    <row r="65" spans="2:7" s="29" customFormat="1" ht="12.75" x14ac:dyDescent="0.2">
      <c r="B65" s="80"/>
      <c r="E65" s="30"/>
      <c r="G65" s="30"/>
    </row>
    <row r="66" spans="2:7" s="29" customFormat="1" ht="12.75" x14ac:dyDescent="0.2">
      <c r="B66" s="80"/>
      <c r="E66" s="30"/>
      <c r="G66" s="30"/>
    </row>
    <row r="67" spans="2:7" s="29" customFormat="1" ht="12.75" x14ac:dyDescent="0.2">
      <c r="B67" s="80"/>
      <c r="E67" s="30"/>
      <c r="G67" s="30"/>
    </row>
    <row r="68" spans="2:7" s="29" customFormat="1" ht="12.75" x14ac:dyDescent="0.2">
      <c r="B68" s="80"/>
      <c r="E68" s="30"/>
      <c r="G68" s="30"/>
    </row>
    <row r="69" spans="2:7" s="29" customFormat="1" ht="12.75" x14ac:dyDescent="0.2">
      <c r="B69" s="80"/>
      <c r="E69" s="30"/>
      <c r="G69" s="30"/>
    </row>
    <row r="70" spans="2:7" s="29" customFormat="1" ht="12.75" x14ac:dyDescent="0.2">
      <c r="B70" s="80"/>
      <c r="E70" s="30"/>
      <c r="G70" s="30"/>
    </row>
    <row r="71" spans="2:7" s="29" customFormat="1" ht="12.75" x14ac:dyDescent="0.2">
      <c r="B71" s="80"/>
      <c r="E71" s="30"/>
      <c r="G71" s="30"/>
    </row>
    <row r="72" spans="2:7" s="29" customFormat="1" ht="12.75" x14ac:dyDescent="0.2">
      <c r="B72" s="80"/>
      <c r="E72" s="30"/>
      <c r="G72" s="30"/>
    </row>
    <row r="73" spans="2:7" s="29" customFormat="1" ht="12.75" x14ac:dyDescent="0.2">
      <c r="B73" s="80"/>
      <c r="E73" s="30"/>
      <c r="G73" s="30"/>
    </row>
    <row r="74" spans="2:7" s="29" customFormat="1" ht="12.75" x14ac:dyDescent="0.2">
      <c r="B74" s="80"/>
      <c r="E74" s="30"/>
      <c r="G74" s="30"/>
    </row>
    <row r="75" spans="2:7" s="29" customFormat="1" ht="12.75" x14ac:dyDescent="0.2">
      <c r="B75" s="80"/>
      <c r="E75" s="30"/>
      <c r="G75" s="30"/>
    </row>
    <row r="76" spans="2:7" s="29" customFormat="1" ht="12.75" x14ac:dyDescent="0.2">
      <c r="B76" s="80"/>
      <c r="E76" s="30"/>
      <c r="G76" s="30"/>
    </row>
    <row r="77" spans="2:7" s="29" customFormat="1" ht="12.75" x14ac:dyDescent="0.2">
      <c r="B77" s="80"/>
      <c r="E77" s="30"/>
      <c r="G77" s="30"/>
    </row>
    <row r="78" spans="2:7" s="29" customFormat="1" ht="12.75" x14ac:dyDescent="0.2">
      <c r="B78" s="80"/>
      <c r="E78" s="30"/>
      <c r="G78" s="30"/>
    </row>
    <row r="79" spans="2:7" s="29" customFormat="1" ht="12.75" x14ac:dyDescent="0.2">
      <c r="B79" s="80"/>
      <c r="E79" s="30"/>
      <c r="G79" s="30"/>
    </row>
    <row r="80" spans="2:7" s="29" customFormat="1" ht="12.75" x14ac:dyDescent="0.2">
      <c r="B80" s="80"/>
      <c r="E80" s="30"/>
      <c r="G80" s="30"/>
    </row>
    <row r="81" spans="2:7" s="29" customFormat="1" ht="12.75" x14ac:dyDescent="0.2">
      <c r="B81" s="80"/>
      <c r="E81" s="30"/>
      <c r="G81" s="30"/>
    </row>
    <row r="82" spans="2:7" s="29" customFormat="1" ht="12.75" x14ac:dyDescent="0.2">
      <c r="B82" s="80"/>
      <c r="E82" s="30"/>
      <c r="G82" s="30"/>
    </row>
    <row r="83" spans="2:7" s="29" customFormat="1" ht="12.75" x14ac:dyDescent="0.2">
      <c r="B83" s="80"/>
      <c r="E83" s="30"/>
      <c r="G83" s="30"/>
    </row>
    <row r="84" spans="2:7" s="29" customFormat="1" ht="12.75" x14ac:dyDescent="0.2">
      <c r="B84" s="80"/>
      <c r="E84" s="30"/>
      <c r="G84" s="30"/>
    </row>
    <row r="85" spans="2:7" s="29" customFormat="1" ht="12.75" x14ac:dyDescent="0.2">
      <c r="B85" s="80"/>
      <c r="E85" s="30"/>
      <c r="G85" s="30"/>
    </row>
    <row r="86" spans="2:7" s="29" customFormat="1" ht="12.75" x14ac:dyDescent="0.2">
      <c r="B86" s="80"/>
      <c r="E86" s="30"/>
      <c r="G86" s="30"/>
    </row>
    <row r="87" spans="2:7" s="29" customFormat="1" ht="12.75" x14ac:dyDescent="0.2">
      <c r="B87" s="80"/>
      <c r="E87" s="30"/>
      <c r="G87" s="30"/>
    </row>
    <row r="88" spans="2:7" s="29" customFormat="1" ht="12.75" x14ac:dyDescent="0.2">
      <c r="B88" s="80"/>
      <c r="E88" s="30"/>
      <c r="G88" s="30"/>
    </row>
    <row r="89" spans="2:7" s="29" customFormat="1" ht="12.75" x14ac:dyDescent="0.2">
      <c r="B89" s="80"/>
      <c r="E89" s="30"/>
      <c r="G89" s="30"/>
    </row>
    <row r="90" spans="2:7" s="29" customFormat="1" ht="12.75" x14ac:dyDescent="0.2">
      <c r="B90" s="80"/>
      <c r="E90" s="30"/>
      <c r="G90" s="30"/>
    </row>
    <row r="91" spans="2:7" s="29" customFormat="1" ht="12.75" x14ac:dyDescent="0.2">
      <c r="B91" s="80"/>
      <c r="E91" s="30"/>
      <c r="G91" s="30"/>
    </row>
    <row r="92" spans="2:7" s="29" customFormat="1" ht="12.75" x14ac:dyDescent="0.2">
      <c r="B92" s="80"/>
      <c r="E92" s="30"/>
      <c r="G92" s="30"/>
    </row>
    <row r="93" spans="2:7" s="29" customFormat="1" ht="12.75" x14ac:dyDescent="0.2">
      <c r="B93" s="80"/>
      <c r="E93" s="30"/>
      <c r="G93" s="30"/>
    </row>
    <row r="94" spans="2:7" s="29" customFormat="1" ht="12.75" x14ac:dyDescent="0.2">
      <c r="B94" s="80"/>
      <c r="E94" s="30"/>
      <c r="G94" s="30"/>
    </row>
    <row r="95" spans="2:7" s="29" customFormat="1" ht="12.75" x14ac:dyDescent="0.2">
      <c r="B95" s="80"/>
      <c r="E95" s="30"/>
      <c r="G95" s="30"/>
    </row>
    <row r="96" spans="2:7" s="29" customFormat="1" ht="12.75" x14ac:dyDescent="0.2">
      <c r="B96" s="80"/>
      <c r="E96" s="30"/>
      <c r="G96" s="30"/>
    </row>
    <row r="97" spans="2:7" s="29" customFormat="1" ht="12.75" x14ac:dyDescent="0.2">
      <c r="B97" s="80"/>
      <c r="E97" s="30"/>
      <c r="G97" s="30"/>
    </row>
    <row r="98" spans="2:7" s="29" customFormat="1" ht="12.75" x14ac:dyDescent="0.2">
      <c r="B98" s="80"/>
      <c r="E98" s="30"/>
      <c r="G98" s="30"/>
    </row>
    <row r="99" spans="2:7" s="29" customFormat="1" ht="12.75" x14ac:dyDescent="0.2">
      <c r="B99" s="80"/>
      <c r="E99" s="30"/>
      <c r="G99" s="30"/>
    </row>
    <row r="100" spans="2:7" s="29" customFormat="1" ht="12.75" x14ac:dyDescent="0.2">
      <c r="B100" s="80"/>
      <c r="E100" s="30"/>
      <c r="G100" s="30"/>
    </row>
    <row r="101" spans="2:7" s="29" customFormat="1" ht="12.75" x14ac:dyDescent="0.2">
      <c r="B101" s="80"/>
      <c r="E101" s="30"/>
      <c r="G101" s="30"/>
    </row>
    <row r="102" spans="2:7" s="29" customFormat="1" ht="12.75" x14ac:dyDescent="0.2">
      <c r="B102" s="80"/>
      <c r="E102" s="30"/>
      <c r="G102" s="30"/>
    </row>
    <row r="103" spans="2:7" s="29" customFormat="1" ht="12.75" x14ac:dyDescent="0.2">
      <c r="B103" s="80"/>
      <c r="E103" s="30"/>
      <c r="G103" s="30"/>
    </row>
    <row r="104" spans="2:7" s="29" customFormat="1" ht="12.75" x14ac:dyDescent="0.2">
      <c r="B104" s="80"/>
      <c r="E104" s="30"/>
      <c r="G104" s="30"/>
    </row>
    <row r="105" spans="2:7" s="29" customFormat="1" ht="12.75" x14ac:dyDescent="0.2">
      <c r="B105" s="80"/>
      <c r="E105" s="30"/>
      <c r="G105" s="30"/>
    </row>
    <row r="106" spans="2:7" s="29" customFormat="1" ht="12.75" x14ac:dyDescent="0.2">
      <c r="B106" s="80"/>
      <c r="E106" s="30"/>
      <c r="G106" s="30"/>
    </row>
    <row r="107" spans="2:7" s="29" customFormat="1" ht="12.75" x14ac:dyDescent="0.2">
      <c r="B107" s="80"/>
      <c r="E107" s="30"/>
      <c r="G107" s="30"/>
    </row>
    <row r="108" spans="2:7" s="29" customFormat="1" ht="12.75" x14ac:dyDescent="0.2">
      <c r="B108" s="80"/>
      <c r="E108" s="30"/>
      <c r="G108" s="30"/>
    </row>
    <row r="109" spans="2:7" s="29" customFormat="1" ht="12.75" x14ac:dyDescent="0.2">
      <c r="B109" s="80"/>
      <c r="E109" s="30"/>
      <c r="G109" s="30"/>
    </row>
    <row r="110" spans="2:7" s="29" customFormat="1" ht="12.75" x14ac:dyDescent="0.2">
      <c r="B110" s="80"/>
      <c r="E110" s="30"/>
      <c r="G110" s="30"/>
    </row>
    <row r="111" spans="2:7" s="29" customFormat="1" ht="12.75" x14ac:dyDescent="0.2">
      <c r="B111" s="80"/>
      <c r="E111" s="30"/>
      <c r="G111" s="30"/>
    </row>
    <row r="112" spans="2:7" s="29" customFormat="1" ht="12.75" x14ac:dyDescent="0.2">
      <c r="B112" s="80"/>
      <c r="E112" s="30"/>
      <c r="G112" s="30"/>
    </row>
    <row r="113" spans="2:12" s="29" customFormat="1" ht="12.75" x14ac:dyDescent="0.2">
      <c r="B113" s="80"/>
      <c r="E113" s="30"/>
      <c r="G113" s="30"/>
    </row>
    <row r="114" spans="2:12" s="29" customFormat="1" ht="12.75" x14ac:dyDescent="0.2">
      <c r="B114" s="80"/>
      <c r="E114" s="30"/>
      <c r="G114" s="30"/>
    </row>
    <row r="115" spans="2:12" s="29" customFormat="1" ht="12.75" x14ac:dyDescent="0.2">
      <c r="B115" s="80"/>
      <c r="E115" s="30"/>
      <c r="G115" s="30"/>
    </row>
    <row r="116" spans="2:12" s="29" customFormat="1" ht="12.75" x14ac:dyDescent="0.2">
      <c r="B116" s="80"/>
      <c r="E116" s="30"/>
      <c r="G116" s="30"/>
    </row>
    <row r="117" spans="2:12" s="29" customFormat="1" ht="12.75" x14ac:dyDescent="0.2">
      <c r="B117" s="80"/>
      <c r="E117" s="30"/>
      <c r="G117" s="30"/>
    </row>
    <row r="118" spans="2:12" s="29" customFormat="1" ht="12.75" x14ac:dyDescent="0.2">
      <c r="B118" s="80"/>
      <c r="E118" s="30"/>
      <c r="G118" s="30"/>
    </row>
    <row r="119" spans="2:12" s="29" customFormat="1" ht="12.75" x14ac:dyDescent="0.2">
      <c r="E119" s="30"/>
      <c r="G119" s="30"/>
    </row>
    <row r="120" spans="2:12" x14ac:dyDescent="0.2">
      <c r="B120" s="29"/>
      <c r="C120" s="29"/>
      <c r="D120" s="29"/>
      <c r="E120" s="30"/>
      <c r="F120" s="29"/>
      <c r="G120" s="30"/>
      <c r="H120" s="29"/>
      <c r="I120" s="29"/>
      <c r="J120" s="29"/>
      <c r="K120" s="29"/>
      <c r="L120" s="29"/>
    </row>
    <row r="121" spans="2:12" x14ac:dyDescent="0.2">
      <c r="B121" s="29"/>
      <c r="C121" s="29"/>
      <c r="D121" s="29"/>
      <c r="E121" s="30"/>
      <c r="F121" s="29"/>
      <c r="G121" s="30"/>
      <c r="H121" s="29"/>
      <c r="I121" s="29"/>
      <c r="J121" s="29"/>
      <c r="K121" s="29"/>
      <c r="L121" s="29"/>
    </row>
    <row r="122" spans="2:12" x14ac:dyDescent="0.2">
      <c r="B122" s="29"/>
    </row>
    <row r="123" spans="2:12" x14ac:dyDescent="0.2">
      <c r="B123" s="29"/>
    </row>
    <row r="124" spans="2:12" x14ac:dyDescent="0.2">
      <c r="B124" s="29"/>
    </row>
    <row r="125" spans="2:12" x14ac:dyDescent="0.2">
      <c r="B125" s="29"/>
    </row>
    <row r="126" spans="2:12" x14ac:dyDescent="0.2">
      <c r="B126" s="29"/>
    </row>
  </sheetData>
  <mergeCells count="108">
    <mergeCell ref="CM5:CS5"/>
    <mergeCell ref="CM6:CS6"/>
    <mergeCell ref="CT5:CZ5"/>
    <mergeCell ref="CT6:CZ6"/>
    <mergeCell ref="DA5:DG5"/>
    <mergeCell ref="DA6:DG6"/>
    <mergeCell ref="MZ5:NF5"/>
    <mergeCell ref="MZ6:NF6"/>
    <mergeCell ref="NG5:NM5"/>
    <mergeCell ref="NG6:NM6"/>
    <mergeCell ref="KO5:KU5"/>
    <mergeCell ref="KO6:KU6"/>
    <mergeCell ref="KV5:LB5"/>
    <mergeCell ref="KV6:LB6"/>
    <mergeCell ref="LC5:LI5"/>
    <mergeCell ref="LC6:LI6"/>
    <mergeCell ref="JT5:JZ5"/>
    <mergeCell ref="JT6:JZ6"/>
    <mergeCell ref="KA5:KG5"/>
    <mergeCell ref="KA6:KG6"/>
    <mergeCell ref="KH5:KN5"/>
    <mergeCell ref="KH6:KN6"/>
    <mergeCell ref="IY5:JE5"/>
    <mergeCell ref="IY6:JE6"/>
    <mergeCell ref="NN5:NT5"/>
    <mergeCell ref="NN6:NT6"/>
    <mergeCell ref="ME5:MK5"/>
    <mergeCell ref="ME6:MK6"/>
    <mergeCell ref="ML5:MR5"/>
    <mergeCell ref="ML6:MR6"/>
    <mergeCell ref="MS5:MY5"/>
    <mergeCell ref="MS6:MY6"/>
    <mergeCell ref="LJ5:LP5"/>
    <mergeCell ref="LJ6:LP6"/>
    <mergeCell ref="LQ5:LW5"/>
    <mergeCell ref="LQ6:LW6"/>
    <mergeCell ref="LX5:MD5"/>
    <mergeCell ref="LX6:MD6"/>
    <mergeCell ref="JF5:JL5"/>
    <mergeCell ref="JF6:JL6"/>
    <mergeCell ref="JM5:JS5"/>
    <mergeCell ref="JM6:JS6"/>
    <mergeCell ref="ID5:IJ5"/>
    <mergeCell ref="ID6:IJ6"/>
    <mergeCell ref="IK5:IQ5"/>
    <mergeCell ref="IK6:IQ6"/>
    <mergeCell ref="IR5:IX5"/>
    <mergeCell ref="IR6:IX6"/>
    <mergeCell ref="HI5:HO5"/>
    <mergeCell ref="HI6:HO6"/>
    <mergeCell ref="HP5:HV5"/>
    <mergeCell ref="HP6:HV6"/>
    <mergeCell ref="HW5:IC5"/>
    <mergeCell ref="HW6:IC6"/>
    <mergeCell ref="GN5:GT5"/>
    <mergeCell ref="GN6:GT6"/>
    <mergeCell ref="GU5:HA5"/>
    <mergeCell ref="GU6:HA6"/>
    <mergeCell ref="HB5:HH5"/>
    <mergeCell ref="HB6:HH6"/>
    <mergeCell ref="FS5:FY5"/>
    <mergeCell ref="FS6:FY6"/>
    <mergeCell ref="FZ5:GF5"/>
    <mergeCell ref="FZ6:GF6"/>
    <mergeCell ref="GG5:GM5"/>
    <mergeCell ref="GG6:GM6"/>
    <mergeCell ref="EX5:FD5"/>
    <mergeCell ref="EX6:FD6"/>
    <mergeCell ref="FE5:FK5"/>
    <mergeCell ref="FE6:FK6"/>
    <mergeCell ref="FL5:FR5"/>
    <mergeCell ref="FL6:FR6"/>
    <mergeCell ref="EC5:EI5"/>
    <mergeCell ref="EC6:EI6"/>
    <mergeCell ref="EJ5:EP5"/>
    <mergeCell ref="EJ6:EP6"/>
    <mergeCell ref="EQ5:EW5"/>
    <mergeCell ref="EQ6:EW6"/>
    <mergeCell ref="DH5:DN5"/>
    <mergeCell ref="DH6:DN6"/>
    <mergeCell ref="DO5:DU5"/>
    <mergeCell ref="DO6:DU6"/>
    <mergeCell ref="DV5:EB5"/>
    <mergeCell ref="DV6:EB6"/>
    <mergeCell ref="CF5:CL5"/>
    <mergeCell ref="CF6:CL6"/>
    <mergeCell ref="N5:T5"/>
    <mergeCell ref="H6:J6"/>
    <mergeCell ref="E6:G6"/>
    <mergeCell ref="N6:T6"/>
    <mergeCell ref="U5:AA5"/>
    <mergeCell ref="U6:AA6"/>
    <mergeCell ref="AB5:AH5"/>
    <mergeCell ref="AB6:AH6"/>
    <mergeCell ref="BD6:BJ6"/>
    <mergeCell ref="BY6:CE6"/>
    <mergeCell ref="AP5:AV5"/>
    <mergeCell ref="AP6:AV6"/>
    <mergeCell ref="AW5:BC5"/>
    <mergeCell ref="AW6:BC6"/>
    <mergeCell ref="BK5:BQ5"/>
    <mergeCell ref="BK6:BQ6"/>
    <mergeCell ref="BR5:BX5"/>
    <mergeCell ref="BR6:BX6"/>
    <mergeCell ref="BY5:CE5"/>
    <mergeCell ref="AI5:AO5"/>
    <mergeCell ref="AI6:AO6"/>
    <mergeCell ref="BD5:BJ5"/>
  </mergeCells>
  <dataValidations count="6">
    <dataValidation type="list" allowBlank="1" showInputMessage="1" showErrorMessage="1" sqref="B7" xr:uid="{00000000-0002-0000-0000-000000000000}">
      <formula1>Projekte</formula1>
    </dataValidation>
    <dataValidation type="list" allowBlank="1" sqref="C7:C8" xr:uid="{00000000-0002-0000-0000-000001000000}">
      <formula1>Meilensteine</formula1>
    </dataValidation>
    <dataValidation type="list" allowBlank="1" showInputMessage="1" showErrorMessage="1" sqref="D7" xr:uid="{00000000-0002-0000-0000-000002000000}">
      <formula1>Status</formula1>
    </dataValidation>
    <dataValidation type="list" allowBlank="1" showInputMessage="1" showErrorMessage="1" sqref="B1" xr:uid="{00000000-0002-0000-0000-000003000000}">
      <formula1>"Quartal, Halbjahr, Jahr"</formula1>
    </dataValidation>
    <dataValidation type="list" allowBlank="1" sqref="B8:B43" xr:uid="{00000000-0002-0000-0000-000004000000}">
      <formula1>Projekte</formula1>
    </dataValidation>
    <dataValidation type="list" allowBlank="1" showInputMessage="1" showErrorMessage="1" sqref="D8:D43" xr:uid="{00000000-0002-0000-0000-000005000000}">
      <formula1>"offen, in Planung, in Bearbeitung, angehalten, erledigt"</formula1>
    </dataValidation>
  </dataValidations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anttPrevious">
                <anchor moveWithCells="1" sizeWithCells="1">
                  <from>
                    <xdr:col>1</xdr:col>
                    <xdr:colOff>809625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anttNext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I40"/>
  <sheetViews>
    <sheetView zoomScale="115" zoomScaleNormal="115" workbookViewId="0">
      <selection activeCell="E1" sqref="E1"/>
    </sheetView>
  </sheetViews>
  <sheetFormatPr baseColWidth="10" defaultRowHeight="14.25" x14ac:dyDescent="0.2"/>
  <cols>
    <col min="1" max="1" width="12.5" bestFit="1" customWidth="1"/>
    <col min="3" max="3" width="12.625" bestFit="1" customWidth="1"/>
  </cols>
  <sheetData>
    <row r="1" spans="1:9" ht="15" x14ac:dyDescent="0.25">
      <c r="A1" s="22" t="s">
        <v>2</v>
      </c>
      <c r="B1" s="46" t="s">
        <v>28</v>
      </c>
      <c r="C1" s="3"/>
      <c r="D1" s="73" t="s">
        <v>42</v>
      </c>
      <c r="E1" s="4"/>
      <c r="F1" s="6"/>
      <c r="G1" s="6"/>
      <c r="H1" s="6"/>
      <c r="I1" s="6"/>
    </row>
    <row r="2" spans="1:9" x14ac:dyDescent="0.2">
      <c r="A2" s="3"/>
      <c r="B2" s="52"/>
      <c r="C2" s="3"/>
      <c r="D2" s="4"/>
      <c r="G2" s="4"/>
      <c r="H2" s="4"/>
      <c r="I2" s="4"/>
    </row>
    <row r="3" spans="1:9" x14ac:dyDescent="0.2">
      <c r="B3" s="52"/>
      <c r="C3" s="3"/>
      <c r="D3" s="4"/>
      <c r="E3" s="4"/>
      <c r="F3" s="4"/>
      <c r="G3" s="4"/>
      <c r="H3" s="4"/>
      <c r="I3" s="4"/>
    </row>
    <row r="4" spans="1:9" x14ac:dyDescent="0.2">
      <c r="A4" s="3"/>
      <c r="B4" s="52"/>
      <c r="C4" s="3"/>
      <c r="D4" s="4"/>
      <c r="E4" s="4"/>
      <c r="F4" s="4"/>
      <c r="G4" s="4"/>
      <c r="H4" s="52"/>
      <c r="I4" s="4"/>
    </row>
    <row r="5" spans="1:9" x14ac:dyDescent="0.2">
      <c r="A5" s="3"/>
      <c r="B5" s="52"/>
      <c r="C5" s="3"/>
      <c r="D5" s="4"/>
      <c r="E5" s="4"/>
      <c r="F5" s="52"/>
      <c r="G5" s="4"/>
      <c r="H5" s="4"/>
      <c r="I5" s="4"/>
    </row>
    <row r="6" spans="1:9" x14ac:dyDescent="0.2">
      <c r="A6" s="3"/>
      <c r="B6" s="52"/>
      <c r="C6" s="3"/>
      <c r="D6" s="4"/>
      <c r="E6" s="4"/>
      <c r="F6" s="4"/>
      <c r="G6" s="4"/>
      <c r="H6" s="4"/>
      <c r="I6" s="53"/>
    </row>
    <row r="7" spans="1:9" x14ac:dyDescent="0.2">
      <c r="A7" s="3"/>
      <c r="B7" s="52"/>
      <c r="C7" s="3"/>
      <c r="D7" s="4"/>
      <c r="E7" s="4"/>
      <c r="F7" s="4"/>
      <c r="G7" s="4"/>
      <c r="H7" s="4"/>
      <c r="I7" s="4"/>
    </row>
    <row r="8" spans="1:9" x14ac:dyDescent="0.2">
      <c r="A8" s="3"/>
      <c r="B8" s="52"/>
      <c r="C8" s="3"/>
      <c r="D8" s="4"/>
      <c r="E8" s="4"/>
      <c r="F8" s="4"/>
      <c r="G8" s="4"/>
      <c r="H8" s="4"/>
      <c r="I8" s="4"/>
    </row>
    <row r="9" spans="1:9" x14ac:dyDescent="0.2">
      <c r="A9" s="3"/>
      <c r="B9" s="52"/>
      <c r="C9" s="3"/>
      <c r="D9" s="4"/>
      <c r="E9" s="4"/>
      <c r="F9" s="4"/>
      <c r="G9" s="4"/>
      <c r="H9" s="4"/>
      <c r="I9" s="4"/>
    </row>
    <row r="10" spans="1:9" x14ac:dyDescent="0.2">
      <c r="A10" s="3"/>
      <c r="B10" s="52"/>
      <c r="C10" s="3"/>
      <c r="D10" s="4"/>
      <c r="E10" s="4"/>
      <c r="F10" s="4"/>
      <c r="G10" s="4"/>
      <c r="H10" s="4"/>
      <c r="I10" s="4"/>
    </row>
    <row r="11" spans="1:9" x14ac:dyDescent="0.2">
      <c r="A11" s="3"/>
      <c r="B11" s="52"/>
      <c r="C11" s="3"/>
      <c r="D11" s="4"/>
      <c r="E11" s="4"/>
      <c r="F11" s="4"/>
      <c r="G11" s="4"/>
      <c r="H11" s="4"/>
      <c r="I11" s="4"/>
    </row>
    <row r="12" spans="1:9" x14ac:dyDescent="0.2">
      <c r="A12" s="3"/>
      <c r="B12" s="52"/>
      <c r="C12" s="3"/>
      <c r="D12" s="4"/>
      <c r="E12" s="4"/>
      <c r="F12" s="4"/>
      <c r="G12" s="4"/>
      <c r="H12" s="4"/>
      <c r="I12" s="4"/>
    </row>
    <row r="13" spans="1:9" x14ac:dyDescent="0.2">
      <c r="A13" s="3"/>
      <c r="B13" s="52"/>
      <c r="C13" s="3"/>
      <c r="D13" s="4"/>
      <c r="E13" s="4"/>
      <c r="F13" s="4"/>
      <c r="G13" s="4"/>
      <c r="H13" s="4"/>
      <c r="I13" s="4"/>
    </row>
    <row r="14" spans="1:9" x14ac:dyDescent="0.2">
      <c r="A14" s="3"/>
      <c r="B14" s="52"/>
      <c r="C14" s="3"/>
      <c r="D14" s="4"/>
      <c r="E14" s="4"/>
      <c r="F14" s="4"/>
      <c r="G14" s="4"/>
      <c r="H14" s="4"/>
      <c r="I14" s="4"/>
    </row>
    <row r="15" spans="1:9" x14ac:dyDescent="0.2">
      <c r="A15" s="3"/>
      <c r="B15" s="52"/>
      <c r="C15" s="3"/>
      <c r="D15" s="4"/>
      <c r="F15" s="4"/>
      <c r="G15" s="4"/>
      <c r="H15" s="4"/>
      <c r="I15" s="4"/>
    </row>
    <row r="16" spans="1:9" x14ac:dyDescent="0.2">
      <c r="A16" s="3"/>
      <c r="B16" s="52"/>
      <c r="C16" s="54"/>
      <c r="E16" s="4"/>
      <c r="F16" s="4"/>
      <c r="G16" s="4"/>
      <c r="H16" s="4"/>
      <c r="I16" s="4"/>
    </row>
    <row r="17" spans="1:9" x14ac:dyDescent="0.2">
      <c r="A17" s="3"/>
      <c r="B17" s="52"/>
      <c r="C17" s="3"/>
      <c r="D17" s="4"/>
      <c r="E17" s="4"/>
      <c r="F17" s="4"/>
      <c r="G17" s="4"/>
      <c r="H17" s="4"/>
      <c r="I17" s="4"/>
    </row>
    <row r="18" spans="1:9" x14ac:dyDescent="0.2">
      <c r="A18" s="3"/>
      <c r="B18" s="52"/>
      <c r="C18" s="3"/>
      <c r="D18" s="4"/>
      <c r="E18" s="4"/>
      <c r="F18" s="4"/>
      <c r="G18" s="4"/>
      <c r="H18" s="4"/>
      <c r="I18" s="4"/>
    </row>
    <row r="19" spans="1:9" x14ac:dyDescent="0.2">
      <c r="A19" s="3"/>
      <c r="B19" s="3"/>
      <c r="C19" s="3"/>
      <c r="D19" s="4"/>
      <c r="E19" s="4"/>
      <c r="F19" s="4"/>
      <c r="G19" s="4"/>
      <c r="H19" s="4"/>
      <c r="I19" s="4"/>
    </row>
    <row r="20" spans="1:9" x14ac:dyDescent="0.2">
      <c r="A20" s="3"/>
      <c r="B20" s="3"/>
      <c r="C20" s="3"/>
      <c r="D20" s="4"/>
      <c r="E20" s="4"/>
      <c r="F20" s="4"/>
      <c r="G20" s="4"/>
      <c r="H20" s="4"/>
      <c r="I20" s="4"/>
    </row>
    <row r="21" spans="1:9" x14ac:dyDescent="0.2">
      <c r="A21" s="3"/>
      <c r="B21" s="3"/>
      <c r="C21" s="3"/>
    </row>
    <row r="22" spans="1:9" x14ac:dyDescent="0.2">
      <c r="A22" s="3"/>
      <c r="B22" s="3"/>
      <c r="C22" s="3"/>
    </row>
    <row r="29" spans="1:9" x14ac:dyDescent="0.2">
      <c r="A29" s="43"/>
      <c r="B29" s="43"/>
    </row>
    <row r="40" spans="1:3" ht="15" x14ac:dyDescent="0.25">
      <c r="A40" s="23"/>
      <c r="B40" s="23"/>
      <c r="C40" s="23"/>
    </row>
  </sheetData>
  <dataValidations count="2">
    <dataValidation type="list" allowBlank="1" showInputMessage="1" showErrorMessage="1" sqref="F2" xr:uid="{00000000-0002-0000-0100-000000000000}">
      <formula1>", Restauration, Organizer, Testprojekt"</formula1>
    </dataValidation>
    <dataValidation type="list" allowBlank="1" showInputMessage="1" showErrorMessage="1" sqref="E1" xr:uid="{00000000-0002-0000-0100-000001000000}">
      <formula1>", Unit, Shooting Calculations, UI"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Weekplan">
                <anchor moveWithCells="1" sizeWithCells="1">
                  <from>
                    <xdr:col>3</xdr:col>
                    <xdr:colOff>771525</xdr:colOff>
                    <xdr:row>8</xdr:row>
                    <xdr:rowOff>85725</xdr:rowOff>
                  </from>
                  <to>
                    <xdr:col>6</xdr:col>
                    <xdr:colOff>485775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File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6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ImportFile">
                <anchor moveWithCells="1" sizeWithCells="1">
                  <from>
                    <xdr:col>3</xdr:col>
                    <xdr:colOff>828675</xdr:colOff>
                    <xdr:row>14</xdr:row>
                    <xdr:rowOff>19050</xdr:rowOff>
                  </from>
                  <to>
                    <xdr:col>6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J376"/>
  <sheetViews>
    <sheetView zoomScale="85" zoomScaleNormal="85" workbookViewId="0">
      <pane ySplit="1" topLeftCell="A41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57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1">
        <f>WEEKNUM($C2,2)</f>
        <v>53</v>
      </c>
      <c r="B2" s="86" t="s">
        <v>10</v>
      </c>
      <c r="C2" s="93">
        <v>44193</v>
      </c>
      <c r="D2" s="47"/>
      <c r="E2" s="47"/>
      <c r="F2" s="49"/>
      <c r="G2" s="9"/>
      <c r="H2" s="8"/>
      <c r="I2" s="8"/>
      <c r="J2" s="10"/>
    </row>
    <row r="3" spans="1:10" x14ac:dyDescent="0.2">
      <c r="A3" s="92"/>
      <c r="B3" s="87"/>
      <c r="C3" s="88"/>
      <c r="D3" s="48"/>
      <c r="E3" s="48"/>
      <c r="F3" s="50"/>
      <c r="G3" s="12"/>
      <c r="H3" s="11"/>
      <c r="I3" s="11"/>
      <c r="J3" s="13"/>
    </row>
    <row r="4" spans="1:10" x14ac:dyDescent="0.2">
      <c r="A4" s="92"/>
      <c r="B4" s="87"/>
      <c r="C4" s="88"/>
      <c r="D4" s="48"/>
      <c r="E4" s="48"/>
      <c r="F4" s="50"/>
      <c r="G4" s="12"/>
      <c r="H4" s="11"/>
      <c r="I4" s="11"/>
      <c r="J4" s="14"/>
    </row>
    <row r="5" spans="1:10" x14ac:dyDescent="0.2">
      <c r="A5" s="92"/>
      <c r="B5" s="87"/>
      <c r="C5" s="88"/>
      <c r="D5" s="48"/>
      <c r="E5" s="48"/>
      <c r="F5" s="50"/>
      <c r="G5" s="12"/>
      <c r="H5" s="11"/>
      <c r="I5" s="11"/>
      <c r="J5" s="14"/>
    </row>
    <row r="6" spans="1:10" x14ac:dyDescent="0.2">
      <c r="A6" s="92"/>
      <c r="B6" s="87" t="s">
        <v>11</v>
      </c>
      <c r="C6" s="88">
        <f>C2+1</f>
        <v>44194</v>
      </c>
      <c r="D6" s="48"/>
      <c r="E6" s="48"/>
      <c r="F6" s="56"/>
      <c r="G6" s="12"/>
      <c r="H6" s="11"/>
      <c r="I6" s="11"/>
      <c r="J6" s="15"/>
    </row>
    <row r="7" spans="1:10" x14ac:dyDescent="0.2">
      <c r="A7" s="92"/>
      <c r="B7" s="87"/>
      <c r="C7" s="88"/>
      <c r="D7" s="48"/>
      <c r="E7" s="48"/>
      <c r="F7" s="50"/>
      <c r="G7" s="12"/>
      <c r="H7" s="11"/>
      <c r="I7" s="11"/>
      <c r="J7" s="14"/>
    </row>
    <row r="8" spans="1:10" x14ac:dyDescent="0.2">
      <c r="A8" s="92"/>
      <c r="B8" s="87"/>
      <c r="C8" s="88"/>
      <c r="D8" s="12"/>
      <c r="E8" s="12"/>
      <c r="F8" s="11"/>
      <c r="G8" s="12"/>
      <c r="H8" s="11"/>
      <c r="I8" s="11"/>
      <c r="J8" s="14"/>
    </row>
    <row r="9" spans="1:10" x14ac:dyDescent="0.2">
      <c r="A9" s="92"/>
      <c r="B9" s="87"/>
      <c r="C9" s="88"/>
      <c r="D9" s="12"/>
      <c r="E9" s="12"/>
      <c r="F9" s="11"/>
      <c r="G9" s="12"/>
      <c r="H9" s="11"/>
      <c r="I9" s="11"/>
      <c r="J9" s="14"/>
    </row>
    <row r="10" spans="1:10" x14ac:dyDescent="0.2">
      <c r="A10" s="92"/>
      <c r="B10" s="87" t="s">
        <v>12</v>
      </c>
      <c r="C10" s="88">
        <f t="shared" ref="C10" si="0">C6+1</f>
        <v>44195</v>
      </c>
      <c r="D10" s="48"/>
      <c r="E10" s="48"/>
      <c r="F10" s="11"/>
      <c r="G10" s="12"/>
      <c r="H10" s="11"/>
      <c r="I10" s="11"/>
      <c r="J10" s="15"/>
    </row>
    <row r="11" spans="1:10" x14ac:dyDescent="0.2">
      <c r="A11" s="92"/>
      <c r="B11" s="87"/>
      <c r="C11" s="88"/>
      <c r="D11" s="12"/>
      <c r="E11" s="12"/>
      <c r="F11" s="11"/>
      <c r="G11" s="12"/>
      <c r="H11" s="11"/>
      <c r="I11" s="11"/>
      <c r="J11" s="15"/>
    </row>
    <row r="12" spans="1:10" x14ac:dyDescent="0.2">
      <c r="A12" s="92"/>
      <c r="B12" s="87"/>
      <c r="C12" s="88"/>
      <c r="D12" s="12"/>
      <c r="E12" s="12"/>
      <c r="F12" s="11"/>
      <c r="G12" s="12"/>
      <c r="H12" s="11"/>
      <c r="I12" s="11"/>
      <c r="J12" s="14"/>
    </row>
    <row r="13" spans="1:10" x14ac:dyDescent="0.2">
      <c r="A13" s="92"/>
      <c r="B13" s="87"/>
      <c r="C13" s="88"/>
      <c r="D13" s="12"/>
      <c r="E13" s="12"/>
      <c r="F13" s="11"/>
      <c r="G13" s="12"/>
      <c r="H13" s="11"/>
      <c r="I13" s="11"/>
      <c r="J13" s="14"/>
    </row>
    <row r="14" spans="1:10" x14ac:dyDescent="0.2">
      <c r="A14" s="92"/>
      <c r="B14" s="87" t="s">
        <v>13</v>
      </c>
      <c r="C14" s="88">
        <f t="shared" ref="C14" si="1">C10+1</f>
        <v>44196</v>
      </c>
      <c r="D14" s="48"/>
      <c r="E14" s="48"/>
      <c r="F14" s="11"/>
      <c r="G14" s="12"/>
      <c r="H14" s="11"/>
      <c r="I14" s="11"/>
      <c r="J14" s="14"/>
    </row>
    <row r="15" spans="1:10" x14ac:dyDescent="0.2">
      <c r="A15" s="92"/>
      <c r="B15" s="87"/>
      <c r="C15" s="88"/>
      <c r="D15" s="12"/>
      <c r="E15" s="12"/>
      <c r="F15" s="11"/>
      <c r="G15" s="12"/>
      <c r="H15" s="66"/>
      <c r="I15" s="11"/>
      <c r="J15" s="15"/>
    </row>
    <row r="16" spans="1:10" x14ac:dyDescent="0.2">
      <c r="A16" s="92"/>
      <c r="B16" s="87"/>
      <c r="C16" s="88"/>
      <c r="D16" s="12"/>
      <c r="E16" s="12"/>
      <c r="F16" s="11"/>
      <c r="G16" s="12"/>
      <c r="H16" s="11"/>
      <c r="I16" s="11"/>
      <c r="J16" s="14"/>
    </row>
    <row r="17" spans="1:10" x14ac:dyDescent="0.2">
      <c r="A17" s="92"/>
      <c r="B17" s="87"/>
      <c r="C17" s="88"/>
      <c r="D17" s="12"/>
      <c r="E17" s="12"/>
      <c r="F17" s="11"/>
      <c r="G17" s="12"/>
      <c r="H17" s="11"/>
      <c r="I17" s="11"/>
      <c r="J17" s="14"/>
    </row>
    <row r="18" spans="1:10" x14ac:dyDescent="0.2">
      <c r="A18" s="92"/>
      <c r="B18" s="87" t="s">
        <v>14</v>
      </c>
      <c r="C18" s="88">
        <f t="shared" ref="C18" si="2">C14+1</f>
        <v>44197</v>
      </c>
      <c r="D18" s="12"/>
      <c r="E18" s="12"/>
      <c r="F18" s="5"/>
      <c r="G18" s="12"/>
      <c r="H18" s="58"/>
      <c r="I18" s="11"/>
      <c r="J18" s="14"/>
    </row>
    <row r="19" spans="1:10" x14ac:dyDescent="0.2">
      <c r="A19" s="92"/>
      <c r="B19" s="87"/>
      <c r="C19" s="88"/>
      <c r="D19" s="12"/>
      <c r="E19" s="12"/>
      <c r="F19" s="11"/>
      <c r="G19" s="12"/>
      <c r="H19" s="11"/>
      <c r="I19" s="11"/>
      <c r="J19" s="14"/>
    </row>
    <row r="20" spans="1:10" x14ac:dyDescent="0.2">
      <c r="A20" s="92"/>
      <c r="B20" s="87"/>
      <c r="C20" s="88"/>
      <c r="D20" s="12"/>
      <c r="E20" s="12"/>
      <c r="F20" s="11"/>
      <c r="G20" s="12"/>
      <c r="H20" s="11"/>
      <c r="I20" s="11"/>
      <c r="J20" s="14"/>
    </row>
    <row r="21" spans="1:10" x14ac:dyDescent="0.2">
      <c r="A21" s="92"/>
      <c r="B21" s="87"/>
      <c r="C21" s="88"/>
      <c r="D21" s="12"/>
      <c r="E21" s="48"/>
      <c r="F21" s="11"/>
      <c r="G21" s="12"/>
      <c r="H21" s="11"/>
      <c r="I21" s="11"/>
      <c r="J21" s="14"/>
    </row>
    <row r="22" spans="1:10" x14ac:dyDescent="0.2">
      <c r="A22" s="92"/>
      <c r="B22" s="87" t="s">
        <v>27</v>
      </c>
      <c r="C22" s="88">
        <f t="shared" ref="C22" si="3">C18+1</f>
        <v>44198</v>
      </c>
      <c r="D22" s="48"/>
      <c r="E22" s="12"/>
      <c r="F22" s="11"/>
      <c r="G22" s="12"/>
      <c r="H22" s="11"/>
      <c r="I22" s="11"/>
      <c r="J22" s="14"/>
    </row>
    <row r="23" spans="1:10" x14ac:dyDescent="0.2">
      <c r="A23" s="92"/>
      <c r="B23" s="87"/>
      <c r="C23" s="88"/>
      <c r="D23" s="12"/>
      <c r="E23" s="12"/>
      <c r="F23" s="11"/>
      <c r="G23" s="12"/>
      <c r="H23" s="11"/>
      <c r="I23" s="11"/>
      <c r="J23" s="14"/>
    </row>
    <row r="24" spans="1:10" x14ac:dyDescent="0.2">
      <c r="A24" s="92"/>
      <c r="B24" s="87"/>
      <c r="C24" s="88"/>
      <c r="D24" s="12"/>
      <c r="E24" s="12"/>
      <c r="F24" s="11"/>
      <c r="G24" s="12"/>
      <c r="H24" s="11"/>
      <c r="I24" s="11"/>
      <c r="J24" s="14"/>
    </row>
    <row r="25" spans="1:10" x14ac:dyDescent="0.2">
      <c r="A25" s="92"/>
      <c r="B25" s="87"/>
      <c r="C25" s="88"/>
      <c r="D25" s="12"/>
      <c r="F25" s="11"/>
      <c r="G25" s="12"/>
      <c r="H25" s="11"/>
      <c r="I25" s="11"/>
      <c r="J25" s="14"/>
    </row>
    <row r="26" spans="1:10" ht="15.75" thickBot="1" x14ac:dyDescent="0.3">
      <c r="A26" s="89"/>
      <c r="B26" s="85"/>
      <c r="C26" s="90"/>
      <c r="D26" s="45"/>
      <c r="E26" s="55"/>
      <c r="F26" s="16"/>
      <c r="G26" s="7"/>
      <c r="H26" s="16"/>
      <c r="I26" s="16"/>
      <c r="J26" s="17" t="str">
        <f>"Wochenstunden: "&amp; SUM($G2:$G25)</f>
        <v>Wochenstunden: 0</v>
      </c>
    </row>
    <row r="27" spans="1:10" x14ac:dyDescent="0.2">
      <c r="A27" s="91">
        <f>WEEKNUM($C27,2)</f>
        <v>2</v>
      </c>
      <c r="B27" s="86" t="s">
        <v>10</v>
      </c>
      <c r="C27" s="93">
        <f>C22+2</f>
        <v>44200</v>
      </c>
      <c r="D27" s="47"/>
      <c r="E27" s="48"/>
      <c r="F27" s="49"/>
      <c r="G27" s="9"/>
      <c r="H27" s="8"/>
      <c r="I27" s="8"/>
      <c r="J27" s="10"/>
    </row>
    <row r="28" spans="1:10" x14ac:dyDescent="0.2">
      <c r="A28" s="92"/>
      <c r="B28" s="87"/>
      <c r="C28" s="88"/>
      <c r="D28" s="48"/>
      <c r="E28" s="48"/>
      <c r="F28" s="50"/>
      <c r="G28" s="12"/>
      <c r="H28" s="11"/>
      <c r="I28" s="11"/>
      <c r="J28" s="13"/>
    </row>
    <row r="29" spans="1:10" x14ac:dyDescent="0.2">
      <c r="A29" s="92"/>
      <c r="B29" s="87"/>
      <c r="C29" s="88"/>
      <c r="D29" s="48"/>
      <c r="E29" s="48"/>
      <c r="F29" s="50"/>
      <c r="G29" s="12"/>
      <c r="H29" s="11"/>
      <c r="I29" s="11"/>
      <c r="J29" s="14"/>
    </row>
    <row r="30" spans="1:10" x14ac:dyDescent="0.2">
      <c r="A30" s="92"/>
      <c r="B30" s="87"/>
      <c r="C30" s="88"/>
      <c r="D30" s="48"/>
      <c r="E30" s="48"/>
      <c r="F30" s="50"/>
      <c r="G30" s="12"/>
      <c r="H30" s="11"/>
      <c r="I30" s="11"/>
      <c r="J30" s="14"/>
    </row>
    <row r="31" spans="1:10" x14ac:dyDescent="0.2">
      <c r="A31" s="92"/>
      <c r="B31" s="87" t="s">
        <v>11</v>
      </c>
      <c r="C31" s="88">
        <f>C27+1</f>
        <v>44201</v>
      </c>
      <c r="D31" s="48"/>
      <c r="E31" s="48"/>
      <c r="F31" s="50"/>
      <c r="G31" s="12"/>
      <c r="H31" s="11"/>
      <c r="I31" s="11"/>
      <c r="J31" s="15"/>
    </row>
    <row r="32" spans="1:10" x14ac:dyDescent="0.2">
      <c r="A32" s="92"/>
      <c r="B32" s="87"/>
      <c r="C32" s="88"/>
      <c r="D32" s="48"/>
      <c r="E32" s="12"/>
      <c r="F32" s="50"/>
      <c r="G32" s="12"/>
      <c r="H32" s="11"/>
      <c r="I32" s="11"/>
      <c r="J32" s="14"/>
    </row>
    <row r="33" spans="1:10" x14ac:dyDescent="0.2">
      <c r="A33" s="92"/>
      <c r="B33" s="87"/>
      <c r="C33" s="88"/>
      <c r="D33" s="12"/>
      <c r="E33" s="12"/>
      <c r="F33" s="11"/>
      <c r="G33" s="12"/>
      <c r="H33" s="11"/>
      <c r="I33" s="11"/>
      <c r="J33" s="14"/>
    </row>
    <row r="34" spans="1:10" x14ac:dyDescent="0.2">
      <c r="A34" s="92"/>
      <c r="B34" s="87"/>
      <c r="C34" s="88"/>
      <c r="D34" s="12"/>
      <c r="E34" s="48"/>
      <c r="F34" s="11"/>
      <c r="G34" s="12"/>
      <c r="H34" s="11"/>
      <c r="I34" s="11"/>
      <c r="J34" s="14"/>
    </row>
    <row r="35" spans="1:10" x14ac:dyDescent="0.2">
      <c r="A35" s="92"/>
      <c r="B35" s="87" t="s">
        <v>12</v>
      </c>
      <c r="C35" s="88">
        <f t="shared" ref="C35" si="4">C31+1</f>
        <v>44202</v>
      </c>
      <c r="D35" s="48"/>
      <c r="E35" s="12"/>
      <c r="F35" s="11"/>
      <c r="G35" s="12"/>
      <c r="H35" s="11"/>
      <c r="I35" s="11"/>
      <c r="J35" s="15"/>
    </row>
    <row r="36" spans="1:10" x14ac:dyDescent="0.2">
      <c r="A36" s="92"/>
      <c r="B36" s="87"/>
      <c r="C36" s="88"/>
      <c r="D36" s="12"/>
      <c r="E36" s="12"/>
      <c r="F36" s="11"/>
      <c r="G36" s="12"/>
      <c r="H36" s="11"/>
      <c r="I36" s="11"/>
      <c r="J36" s="15"/>
    </row>
    <row r="37" spans="1:10" x14ac:dyDescent="0.2">
      <c r="A37" s="92"/>
      <c r="B37" s="87"/>
      <c r="C37" s="88"/>
      <c r="D37" s="12"/>
      <c r="E37" s="12"/>
      <c r="F37" s="11"/>
      <c r="G37" s="12"/>
      <c r="H37" s="11"/>
      <c r="I37" s="11"/>
      <c r="J37" s="14"/>
    </row>
    <row r="38" spans="1:10" x14ac:dyDescent="0.2">
      <c r="A38" s="92"/>
      <c r="B38" s="87"/>
      <c r="C38" s="88"/>
      <c r="D38" s="12"/>
      <c r="E38" s="48"/>
      <c r="F38" s="11"/>
      <c r="G38" s="12"/>
      <c r="H38" s="11"/>
      <c r="I38" s="11"/>
      <c r="J38" s="14"/>
    </row>
    <row r="39" spans="1:10" x14ac:dyDescent="0.2">
      <c r="A39" s="92"/>
      <c r="B39" s="87" t="s">
        <v>13</v>
      </c>
      <c r="C39" s="88">
        <f t="shared" ref="C39" si="5">C35+1</f>
        <v>44203</v>
      </c>
      <c r="D39" s="48"/>
      <c r="E39" s="12"/>
      <c r="F39" s="11"/>
      <c r="G39" s="12"/>
      <c r="H39" s="11"/>
      <c r="I39" s="11"/>
      <c r="J39" s="14"/>
    </row>
    <row r="40" spans="1:10" x14ac:dyDescent="0.2">
      <c r="A40" s="92"/>
      <c r="B40" s="87"/>
      <c r="C40" s="88"/>
      <c r="D40" s="12"/>
      <c r="E40" s="12"/>
      <c r="F40" s="11"/>
      <c r="G40" s="12"/>
      <c r="H40" s="3"/>
      <c r="I40" s="11"/>
      <c r="J40" s="15"/>
    </row>
    <row r="41" spans="1:10" x14ac:dyDescent="0.2">
      <c r="A41" s="92"/>
      <c r="B41" s="87"/>
      <c r="C41" s="88"/>
      <c r="D41" s="12"/>
      <c r="E41" s="12"/>
      <c r="F41" s="11"/>
      <c r="G41" s="12"/>
      <c r="H41" s="11"/>
      <c r="I41" s="11"/>
      <c r="J41" s="14"/>
    </row>
    <row r="42" spans="1:10" x14ac:dyDescent="0.2">
      <c r="A42" s="92"/>
      <c r="B42" s="87"/>
      <c r="C42" s="88"/>
      <c r="D42" s="12"/>
      <c r="E42" s="12"/>
      <c r="F42" s="11"/>
      <c r="G42" s="12"/>
      <c r="H42" s="11"/>
      <c r="I42" s="11"/>
      <c r="J42" s="14"/>
    </row>
    <row r="43" spans="1:10" x14ac:dyDescent="0.2">
      <c r="A43" s="92"/>
      <c r="B43" s="87" t="s">
        <v>14</v>
      </c>
      <c r="C43" s="88">
        <f t="shared" ref="C43" si="6">C39+1</f>
        <v>44204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2"/>
      <c r="B44" s="87"/>
      <c r="C44" s="88"/>
      <c r="D44" s="12"/>
      <c r="E44" s="12"/>
      <c r="F44" s="11"/>
      <c r="G44" s="12"/>
      <c r="H44" s="11"/>
      <c r="I44" s="11"/>
      <c r="J44" s="14"/>
    </row>
    <row r="45" spans="1:10" x14ac:dyDescent="0.2">
      <c r="A45" s="92"/>
      <c r="B45" s="87"/>
      <c r="C45" s="88"/>
      <c r="D45" s="12"/>
      <c r="E45" s="12"/>
      <c r="F45" s="11"/>
      <c r="G45" s="12"/>
      <c r="H45" s="11"/>
      <c r="I45" s="11"/>
      <c r="J45" s="14"/>
    </row>
    <row r="46" spans="1:10" x14ac:dyDescent="0.2">
      <c r="A46" s="92"/>
      <c r="B46" s="87"/>
      <c r="C46" s="88"/>
      <c r="D46" s="12"/>
      <c r="E46" s="48"/>
      <c r="F46" s="11"/>
      <c r="G46" s="12"/>
      <c r="H46" s="11"/>
      <c r="I46" s="11"/>
      <c r="J46" s="14"/>
    </row>
    <row r="47" spans="1:10" x14ac:dyDescent="0.2">
      <c r="A47" s="92"/>
      <c r="B47" s="87" t="s">
        <v>27</v>
      </c>
      <c r="C47" s="88">
        <f t="shared" ref="C47" si="7">C43+1</f>
        <v>44205</v>
      </c>
      <c r="D47" s="48"/>
      <c r="E47" s="12"/>
      <c r="F47" s="11"/>
      <c r="G47" s="12"/>
      <c r="H47" s="11"/>
      <c r="I47" s="11"/>
      <c r="J47" s="14"/>
    </row>
    <row r="48" spans="1:10" x14ac:dyDescent="0.2">
      <c r="A48" s="92"/>
      <c r="B48" s="87"/>
      <c r="C48" s="88"/>
      <c r="D48" s="12"/>
      <c r="E48" s="12"/>
      <c r="F48" s="11"/>
      <c r="G48" s="12"/>
      <c r="H48" s="11"/>
      <c r="I48" s="11"/>
      <c r="J48" s="14"/>
    </row>
    <row r="49" spans="1:10" x14ac:dyDescent="0.2">
      <c r="A49" s="92"/>
      <c r="B49" s="87"/>
      <c r="C49" s="88"/>
      <c r="D49" s="12"/>
      <c r="E49" s="12"/>
      <c r="F49" s="11"/>
      <c r="G49" s="12"/>
      <c r="H49" s="11"/>
      <c r="I49" s="11"/>
      <c r="J49" s="14"/>
    </row>
    <row r="50" spans="1:10" x14ac:dyDescent="0.2">
      <c r="A50" s="92"/>
      <c r="B50" s="87"/>
      <c r="C50" s="88"/>
      <c r="D50" s="12"/>
      <c r="F50" s="11"/>
      <c r="G50" s="12"/>
      <c r="H50" s="11"/>
      <c r="I50" s="11"/>
      <c r="J50" s="14"/>
    </row>
    <row r="51" spans="1:10" ht="15.75" thickBot="1" x14ac:dyDescent="0.3">
      <c r="A51" s="89"/>
      <c r="B51" s="85"/>
      <c r="C51" s="90"/>
      <c r="D51" s="51"/>
      <c r="E51" s="55"/>
      <c r="F51" s="16"/>
      <c r="G51" s="51"/>
      <c r="H51" s="16"/>
      <c r="I51" s="16"/>
      <c r="J51" s="17" t="str">
        <f>"Wochenstunden: "&amp; SUM($G27:$G50)</f>
        <v>Wochenstunden: 0</v>
      </c>
    </row>
    <row r="52" spans="1:10" x14ac:dyDescent="0.2">
      <c r="A52" s="91">
        <f>WEEKNUM($C52,2)</f>
        <v>3</v>
      </c>
      <c r="B52" s="86" t="s">
        <v>10</v>
      </c>
      <c r="C52" s="93">
        <f>C47+2</f>
        <v>44207</v>
      </c>
      <c r="D52" s="47"/>
      <c r="E52" s="48"/>
      <c r="F52" s="49"/>
      <c r="G52" s="9"/>
      <c r="H52" s="8"/>
      <c r="I52" s="8"/>
      <c r="J52" s="10"/>
    </row>
    <row r="53" spans="1:10" x14ac:dyDescent="0.2">
      <c r="A53" s="92"/>
      <c r="B53" s="87"/>
      <c r="C53" s="88"/>
      <c r="D53" s="48"/>
      <c r="E53" s="48"/>
      <c r="F53" s="50"/>
      <c r="G53" s="12"/>
      <c r="H53" s="11"/>
      <c r="I53" s="11"/>
      <c r="J53" s="13"/>
    </row>
    <row r="54" spans="1:10" x14ac:dyDescent="0.2">
      <c r="A54" s="92"/>
      <c r="B54" s="87"/>
      <c r="C54" s="88"/>
      <c r="D54" s="48"/>
      <c r="E54" s="48"/>
      <c r="F54" s="50"/>
      <c r="G54" s="12"/>
      <c r="H54" s="11"/>
      <c r="I54" s="11"/>
      <c r="J54" s="14"/>
    </row>
    <row r="55" spans="1:10" x14ac:dyDescent="0.2">
      <c r="A55" s="92"/>
      <c r="B55" s="87"/>
      <c r="C55" s="88"/>
      <c r="D55" s="48"/>
      <c r="E55" s="48"/>
      <c r="F55" s="50"/>
      <c r="G55" s="12"/>
      <c r="H55" s="11"/>
      <c r="I55" s="11"/>
      <c r="J55" s="14"/>
    </row>
    <row r="56" spans="1:10" x14ac:dyDescent="0.2">
      <c r="A56" s="92"/>
      <c r="B56" s="87" t="s">
        <v>11</v>
      </c>
      <c r="C56" s="88">
        <f>C52+1</f>
        <v>44208</v>
      </c>
      <c r="D56" s="48"/>
      <c r="E56" s="48"/>
      <c r="F56" s="50"/>
      <c r="G56" s="12"/>
      <c r="H56" s="11"/>
      <c r="I56" s="11"/>
      <c r="J56" s="15"/>
    </row>
    <row r="57" spans="1:10" x14ac:dyDescent="0.2">
      <c r="A57" s="92"/>
      <c r="B57" s="87"/>
      <c r="C57" s="88"/>
      <c r="D57" s="48"/>
      <c r="E57" s="12"/>
      <c r="F57" s="50"/>
      <c r="G57" s="12"/>
      <c r="H57" s="11"/>
      <c r="I57" s="11"/>
      <c r="J57" s="14"/>
    </row>
    <row r="58" spans="1:10" x14ac:dyDescent="0.2">
      <c r="A58" s="92"/>
      <c r="B58" s="87"/>
      <c r="C58" s="88"/>
      <c r="D58" s="12"/>
      <c r="E58" s="12"/>
      <c r="F58" s="11"/>
      <c r="G58" s="12"/>
      <c r="H58" s="11"/>
      <c r="I58" s="11"/>
      <c r="J58" s="14"/>
    </row>
    <row r="59" spans="1:10" x14ac:dyDescent="0.2">
      <c r="A59" s="92"/>
      <c r="B59" s="87"/>
      <c r="C59" s="88"/>
      <c r="D59" s="12"/>
      <c r="E59" s="48"/>
      <c r="F59" s="11"/>
      <c r="G59" s="12"/>
      <c r="H59" s="11"/>
      <c r="I59" s="11"/>
      <c r="J59" s="14"/>
    </row>
    <row r="60" spans="1:10" x14ac:dyDescent="0.2">
      <c r="A60" s="92"/>
      <c r="B60" s="87" t="s">
        <v>12</v>
      </c>
      <c r="C60" s="88">
        <f t="shared" ref="C60" si="8">C56+1</f>
        <v>44209</v>
      </c>
      <c r="D60" s="48"/>
      <c r="E60" s="12"/>
      <c r="F60" s="11"/>
      <c r="G60" s="12"/>
      <c r="H60" s="11"/>
      <c r="I60" s="11"/>
      <c r="J60" s="15"/>
    </row>
    <row r="61" spans="1:10" x14ac:dyDescent="0.2">
      <c r="A61" s="92"/>
      <c r="B61" s="87"/>
      <c r="C61" s="88"/>
      <c r="D61" s="12"/>
      <c r="E61" s="12"/>
      <c r="F61" s="11"/>
      <c r="G61" s="12"/>
      <c r="H61" s="11"/>
      <c r="I61" s="11"/>
      <c r="J61" s="15"/>
    </row>
    <row r="62" spans="1:10" x14ac:dyDescent="0.2">
      <c r="A62" s="92"/>
      <c r="B62" s="87"/>
      <c r="C62" s="88"/>
      <c r="D62" s="12"/>
      <c r="E62" s="12"/>
      <c r="F62" s="11"/>
      <c r="G62" s="12"/>
      <c r="H62" s="11"/>
      <c r="I62" s="11"/>
      <c r="J62" s="14"/>
    </row>
    <row r="63" spans="1:10" x14ac:dyDescent="0.2">
      <c r="A63" s="92"/>
      <c r="B63" s="87"/>
      <c r="C63" s="88"/>
      <c r="D63" s="12"/>
      <c r="E63" s="48"/>
      <c r="F63" s="11"/>
      <c r="G63" s="12"/>
      <c r="H63" s="11"/>
      <c r="I63" s="11"/>
      <c r="J63" s="14"/>
    </row>
    <row r="64" spans="1:10" x14ac:dyDescent="0.2">
      <c r="A64" s="92"/>
      <c r="B64" s="87" t="s">
        <v>13</v>
      </c>
      <c r="C64" s="88">
        <f t="shared" ref="C64" si="9">C60+1</f>
        <v>44210</v>
      </c>
      <c r="D64" s="48"/>
      <c r="E64" s="12"/>
      <c r="F64" s="11"/>
      <c r="G64" s="12"/>
      <c r="H64" s="11"/>
      <c r="I64" s="11"/>
      <c r="J64" s="14"/>
    </row>
    <row r="65" spans="1:10" x14ac:dyDescent="0.2">
      <c r="A65" s="92"/>
      <c r="B65" s="87"/>
      <c r="C65" s="88"/>
      <c r="D65" s="12"/>
      <c r="E65" s="12"/>
      <c r="F65" s="11"/>
      <c r="G65" s="12"/>
      <c r="H65" s="3"/>
      <c r="I65" s="11"/>
      <c r="J65" s="15"/>
    </row>
    <row r="66" spans="1:10" x14ac:dyDescent="0.2">
      <c r="A66" s="92"/>
      <c r="B66" s="87"/>
      <c r="C66" s="88"/>
      <c r="D66" s="12"/>
      <c r="E66" s="12"/>
      <c r="F66" s="11"/>
      <c r="G66" s="12"/>
      <c r="H66" s="11"/>
      <c r="I66" s="11"/>
      <c r="J66" s="14"/>
    </row>
    <row r="67" spans="1:10" x14ac:dyDescent="0.2">
      <c r="A67" s="92"/>
      <c r="B67" s="87"/>
      <c r="C67" s="88"/>
      <c r="D67" s="12"/>
      <c r="E67" s="12"/>
      <c r="F67" s="11"/>
      <c r="G67" s="12"/>
      <c r="H67" s="11"/>
      <c r="I67" s="11"/>
      <c r="J67" s="14"/>
    </row>
    <row r="68" spans="1:10" x14ac:dyDescent="0.2">
      <c r="A68" s="92"/>
      <c r="B68" s="87" t="s">
        <v>14</v>
      </c>
      <c r="C68" s="88">
        <f t="shared" ref="C68" si="10">C64+1</f>
        <v>44211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2"/>
      <c r="B69" s="87"/>
      <c r="C69" s="88"/>
      <c r="D69" s="12"/>
      <c r="E69" s="12"/>
      <c r="F69" s="11"/>
      <c r="G69" s="12"/>
      <c r="H69" s="11"/>
      <c r="I69" s="11"/>
      <c r="J69" s="14"/>
    </row>
    <row r="70" spans="1:10" x14ac:dyDescent="0.2">
      <c r="A70" s="92"/>
      <c r="B70" s="87"/>
      <c r="C70" s="88"/>
      <c r="D70" s="12"/>
      <c r="E70" s="12"/>
      <c r="F70" s="11"/>
      <c r="G70" s="12"/>
      <c r="H70" s="11"/>
      <c r="I70" s="11"/>
      <c r="J70" s="14"/>
    </row>
    <row r="71" spans="1:10" x14ac:dyDescent="0.2">
      <c r="A71" s="92"/>
      <c r="B71" s="87"/>
      <c r="C71" s="88"/>
      <c r="D71" s="12"/>
      <c r="E71" s="48"/>
      <c r="F71" s="11"/>
      <c r="G71" s="12"/>
      <c r="H71" s="11"/>
      <c r="I71" s="11"/>
      <c r="J71" s="14"/>
    </row>
    <row r="72" spans="1:10" x14ac:dyDescent="0.2">
      <c r="A72" s="92"/>
      <c r="B72" s="87" t="s">
        <v>27</v>
      </c>
      <c r="C72" s="88">
        <f t="shared" ref="C72" si="11">C68+1</f>
        <v>44212</v>
      </c>
      <c r="D72" s="48"/>
      <c r="E72" s="12"/>
      <c r="F72" s="11"/>
      <c r="G72" s="12"/>
      <c r="H72" s="11"/>
      <c r="I72" s="11"/>
      <c r="J72" s="14"/>
    </row>
    <row r="73" spans="1:10" x14ac:dyDescent="0.2">
      <c r="A73" s="92"/>
      <c r="B73" s="87"/>
      <c r="C73" s="88"/>
      <c r="D73" s="12"/>
      <c r="E73" s="12"/>
      <c r="F73" s="11"/>
      <c r="G73" s="12"/>
      <c r="H73" s="11"/>
      <c r="I73" s="11"/>
      <c r="J73" s="14"/>
    </row>
    <row r="74" spans="1:10" x14ac:dyDescent="0.2">
      <c r="A74" s="92"/>
      <c r="B74" s="87"/>
      <c r="C74" s="88"/>
      <c r="D74" s="12"/>
      <c r="E74" s="12"/>
      <c r="F74" s="11"/>
      <c r="G74" s="12"/>
      <c r="H74" s="11"/>
      <c r="I74" s="11"/>
      <c r="J74" s="14"/>
    </row>
    <row r="75" spans="1:10" x14ac:dyDescent="0.2">
      <c r="A75" s="92"/>
      <c r="B75" s="87"/>
      <c r="C75" s="88"/>
      <c r="D75" s="12"/>
      <c r="F75" s="11"/>
      <c r="G75" s="12"/>
      <c r="H75" s="11"/>
      <c r="I75" s="11"/>
      <c r="J75" s="14"/>
    </row>
    <row r="76" spans="1:10" ht="15.75" thickBot="1" x14ac:dyDescent="0.3">
      <c r="A76" s="89"/>
      <c r="B76" s="85"/>
      <c r="C76" s="90"/>
      <c r="D76" s="51"/>
      <c r="E76" s="55"/>
      <c r="F76" s="16"/>
      <c r="G76" s="51"/>
      <c r="H76" s="16"/>
      <c r="I76" s="16"/>
      <c r="J76" s="17" t="str">
        <f>"Wochenstunden: "&amp; SUM($G52:$G75)</f>
        <v>Wochenstunden: 0</v>
      </c>
    </row>
    <row r="77" spans="1:10" x14ac:dyDescent="0.2">
      <c r="A77" s="91">
        <f>WEEKNUM($C77,2)</f>
        <v>4</v>
      </c>
      <c r="B77" s="86" t="s">
        <v>10</v>
      </c>
      <c r="C77" s="93">
        <f>C72+2</f>
        <v>44214</v>
      </c>
      <c r="D77" s="47"/>
      <c r="E77" s="48"/>
      <c r="F77" s="49"/>
      <c r="G77" s="9"/>
      <c r="H77" s="8"/>
      <c r="I77" s="8"/>
      <c r="J77" s="10"/>
    </row>
    <row r="78" spans="1:10" x14ac:dyDescent="0.2">
      <c r="A78" s="92"/>
      <c r="B78" s="87"/>
      <c r="C78" s="88"/>
      <c r="D78" s="48"/>
      <c r="E78" s="48"/>
      <c r="F78" s="50"/>
      <c r="G78" s="12"/>
      <c r="H78" s="11"/>
      <c r="I78" s="11"/>
      <c r="J78" s="13"/>
    </row>
    <row r="79" spans="1:10" x14ac:dyDescent="0.2">
      <c r="A79" s="92"/>
      <c r="B79" s="87"/>
      <c r="C79" s="88"/>
      <c r="D79" s="48"/>
      <c r="E79" s="48"/>
      <c r="F79" s="50"/>
      <c r="G79" s="12"/>
      <c r="H79" s="11"/>
      <c r="I79" s="11"/>
      <c r="J79" s="14"/>
    </row>
    <row r="80" spans="1:10" x14ac:dyDescent="0.2">
      <c r="A80" s="92"/>
      <c r="B80" s="87"/>
      <c r="C80" s="88"/>
      <c r="D80" s="48"/>
      <c r="E80" s="48"/>
      <c r="F80" s="50"/>
      <c r="G80" s="12"/>
      <c r="H80" s="11"/>
      <c r="I80" s="11"/>
      <c r="J80" s="14"/>
    </row>
    <row r="81" spans="1:10" x14ac:dyDescent="0.2">
      <c r="A81" s="92"/>
      <c r="B81" s="87" t="s">
        <v>11</v>
      </c>
      <c r="C81" s="88">
        <f>C77+1</f>
        <v>44215</v>
      </c>
      <c r="D81" s="48"/>
      <c r="E81" s="48"/>
      <c r="F81" s="50"/>
      <c r="G81" s="12"/>
      <c r="H81" s="11"/>
      <c r="I81" s="11"/>
      <c r="J81" s="15"/>
    </row>
    <row r="82" spans="1:10" x14ac:dyDescent="0.2">
      <c r="A82" s="92"/>
      <c r="B82" s="87"/>
      <c r="C82" s="88"/>
      <c r="D82" s="48"/>
      <c r="E82" s="12"/>
      <c r="F82" s="50"/>
      <c r="G82" s="12"/>
      <c r="H82" s="11"/>
      <c r="I82" s="11"/>
      <c r="J82" s="14"/>
    </row>
    <row r="83" spans="1:10" x14ac:dyDescent="0.2">
      <c r="A83" s="92"/>
      <c r="B83" s="87"/>
      <c r="C83" s="88"/>
      <c r="D83" s="12"/>
      <c r="E83" s="12"/>
      <c r="F83" s="11"/>
      <c r="G83" s="12"/>
      <c r="H83" s="11"/>
      <c r="I83" s="11"/>
      <c r="J83" s="14"/>
    </row>
    <row r="84" spans="1:10" x14ac:dyDescent="0.2">
      <c r="A84" s="92"/>
      <c r="B84" s="87"/>
      <c r="C84" s="88"/>
      <c r="D84" s="12"/>
      <c r="E84" s="48"/>
      <c r="F84" s="11"/>
      <c r="G84" s="12"/>
      <c r="H84" s="11"/>
      <c r="I84" s="11"/>
      <c r="J84" s="14"/>
    </row>
    <row r="85" spans="1:10" x14ac:dyDescent="0.2">
      <c r="A85" s="92"/>
      <c r="B85" s="87" t="s">
        <v>12</v>
      </c>
      <c r="C85" s="88">
        <f t="shared" ref="C85" si="12">C81+1</f>
        <v>44216</v>
      </c>
      <c r="D85" s="48"/>
      <c r="E85" s="12"/>
      <c r="F85" s="11"/>
      <c r="G85" s="12"/>
      <c r="H85" s="11"/>
      <c r="I85" s="11"/>
      <c r="J85" s="15"/>
    </row>
    <row r="86" spans="1:10" x14ac:dyDescent="0.2">
      <c r="A86" s="92"/>
      <c r="B86" s="87"/>
      <c r="C86" s="88"/>
      <c r="D86" s="12"/>
      <c r="E86" s="12"/>
      <c r="F86" s="11"/>
      <c r="G86" s="12"/>
      <c r="H86" s="11"/>
      <c r="I86" s="11"/>
      <c r="J86" s="15"/>
    </row>
    <row r="87" spans="1:10" x14ac:dyDescent="0.2">
      <c r="A87" s="92"/>
      <c r="B87" s="87"/>
      <c r="C87" s="88"/>
      <c r="D87" s="12"/>
      <c r="E87" s="12"/>
      <c r="F87" s="11"/>
      <c r="G87" s="12"/>
      <c r="H87" s="11"/>
      <c r="I87" s="11"/>
      <c r="J87" s="14"/>
    </row>
    <row r="88" spans="1:10" x14ac:dyDescent="0.2">
      <c r="A88" s="92"/>
      <c r="B88" s="87"/>
      <c r="C88" s="88"/>
      <c r="D88" s="12"/>
      <c r="E88" s="48"/>
      <c r="F88" s="11"/>
      <c r="G88" s="12"/>
      <c r="H88" s="11"/>
      <c r="I88" s="11"/>
      <c r="J88" s="14"/>
    </row>
    <row r="89" spans="1:10" x14ac:dyDescent="0.2">
      <c r="A89" s="92"/>
      <c r="B89" s="87" t="s">
        <v>13</v>
      </c>
      <c r="C89" s="88">
        <f t="shared" ref="C89" si="13">C85+1</f>
        <v>44217</v>
      </c>
      <c r="D89" s="48"/>
      <c r="E89" s="12"/>
      <c r="F89" s="11"/>
      <c r="G89" s="12"/>
      <c r="H89" s="11"/>
      <c r="I89" s="11"/>
      <c r="J89" s="14"/>
    </row>
    <row r="90" spans="1:10" x14ac:dyDescent="0.2">
      <c r="A90" s="92"/>
      <c r="B90" s="87"/>
      <c r="C90" s="88"/>
      <c r="D90" s="12"/>
      <c r="E90" s="12"/>
      <c r="F90" s="11"/>
      <c r="G90" s="12"/>
      <c r="H90" s="3"/>
      <c r="I90" s="11"/>
      <c r="J90" s="15"/>
    </row>
    <row r="91" spans="1:10" x14ac:dyDescent="0.2">
      <c r="A91" s="92"/>
      <c r="B91" s="87"/>
      <c r="C91" s="88"/>
      <c r="D91" s="12"/>
      <c r="E91" s="12"/>
      <c r="F91" s="11"/>
      <c r="G91" s="12"/>
      <c r="H91" s="11"/>
      <c r="I91" s="11"/>
      <c r="J91" s="14"/>
    </row>
    <row r="92" spans="1:10" x14ac:dyDescent="0.2">
      <c r="A92" s="92"/>
      <c r="B92" s="87"/>
      <c r="C92" s="88"/>
      <c r="D92" s="12"/>
      <c r="E92" s="12"/>
      <c r="F92" s="11"/>
      <c r="G92" s="12"/>
      <c r="H92" s="11"/>
      <c r="I92" s="11"/>
      <c r="J92" s="14"/>
    </row>
    <row r="93" spans="1:10" x14ac:dyDescent="0.2">
      <c r="A93" s="92"/>
      <c r="B93" s="87" t="s">
        <v>14</v>
      </c>
      <c r="C93" s="88">
        <f t="shared" ref="C93" si="14">C89+1</f>
        <v>44218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2"/>
      <c r="B94" s="87"/>
      <c r="C94" s="88"/>
      <c r="D94" s="12"/>
      <c r="E94" s="12"/>
      <c r="F94" s="11"/>
      <c r="G94" s="12"/>
      <c r="H94" s="11"/>
      <c r="I94" s="11"/>
      <c r="J94" s="14"/>
    </row>
    <row r="95" spans="1:10" x14ac:dyDescent="0.2">
      <c r="A95" s="92"/>
      <c r="B95" s="87"/>
      <c r="C95" s="88"/>
      <c r="D95" s="12"/>
      <c r="E95" s="12"/>
      <c r="F95" s="11"/>
      <c r="G95" s="12"/>
      <c r="H95" s="11"/>
      <c r="I95" s="11"/>
      <c r="J95" s="14"/>
    </row>
    <row r="96" spans="1:10" x14ac:dyDescent="0.2">
      <c r="A96" s="92"/>
      <c r="B96" s="87"/>
      <c r="C96" s="88"/>
      <c r="D96" s="12"/>
      <c r="E96" s="48"/>
      <c r="F96" s="11"/>
      <c r="G96" s="12"/>
      <c r="H96" s="11"/>
      <c r="I96" s="11"/>
      <c r="J96" s="14"/>
    </row>
    <row r="97" spans="1:10" x14ac:dyDescent="0.2">
      <c r="A97" s="92"/>
      <c r="B97" s="87" t="s">
        <v>27</v>
      </c>
      <c r="C97" s="88">
        <f t="shared" ref="C97" si="15">C93+1</f>
        <v>44219</v>
      </c>
      <c r="D97" s="48"/>
      <c r="E97" s="12"/>
      <c r="F97" s="11"/>
      <c r="G97" s="12"/>
      <c r="H97" s="11"/>
      <c r="I97" s="11"/>
      <c r="J97" s="14"/>
    </row>
    <row r="98" spans="1:10" x14ac:dyDescent="0.2">
      <c r="A98" s="92"/>
      <c r="B98" s="87"/>
      <c r="C98" s="88"/>
      <c r="D98" s="12"/>
      <c r="E98" s="12"/>
      <c r="F98" s="11"/>
      <c r="G98" s="12"/>
      <c r="H98" s="11"/>
      <c r="I98" s="11"/>
      <c r="J98" s="14"/>
    </row>
    <row r="99" spans="1:10" x14ac:dyDescent="0.2">
      <c r="A99" s="92"/>
      <c r="B99" s="87"/>
      <c r="C99" s="88"/>
      <c r="D99" s="12"/>
      <c r="E99" s="12"/>
      <c r="F99" s="11"/>
      <c r="G99" s="12"/>
      <c r="H99" s="11"/>
      <c r="I99" s="11"/>
      <c r="J99" s="14"/>
    </row>
    <row r="100" spans="1:10" x14ac:dyDescent="0.2">
      <c r="A100" s="92"/>
      <c r="B100" s="87"/>
      <c r="C100" s="88"/>
      <c r="D100" s="12"/>
      <c r="F100" s="11"/>
      <c r="G100" s="12"/>
      <c r="H100" s="11"/>
      <c r="I100" s="11"/>
      <c r="J100" s="14"/>
    </row>
    <row r="101" spans="1:10" ht="15.75" thickBot="1" x14ac:dyDescent="0.3">
      <c r="A101" s="89"/>
      <c r="B101" s="85"/>
      <c r="C101" s="90"/>
      <c r="D101" s="59"/>
      <c r="E101" s="59"/>
      <c r="F101" s="16"/>
      <c r="G101" s="59"/>
      <c r="H101" s="16"/>
      <c r="I101" s="16"/>
      <c r="J101" s="17" t="str">
        <f>"Wochenstunden: "&amp; SUM($G77:$G100)</f>
        <v>Wochenstunden: 0</v>
      </c>
    </row>
    <row r="102" spans="1:10" x14ac:dyDescent="0.2">
      <c r="A102" s="91">
        <f>WEEKNUM($C102,2)</f>
        <v>5</v>
      </c>
      <c r="B102" s="86" t="s">
        <v>10</v>
      </c>
      <c r="C102" s="93">
        <f>C97+2</f>
        <v>44221</v>
      </c>
      <c r="D102" s="47"/>
      <c r="E102" s="48"/>
      <c r="F102" s="49"/>
      <c r="G102" s="9"/>
      <c r="H102" s="8"/>
      <c r="I102" s="8"/>
      <c r="J102" s="10"/>
    </row>
    <row r="103" spans="1:10" x14ac:dyDescent="0.2">
      <c r="A103" s="92"/>
      <c r="B103" s="87"/>
      <c r="C103" s="88"/>
      <c r="D103" s="48"/>
      <c r="E103" s="48"/>
      <c r="F103" s="50"/>
      <c r="G103" s="12"/>
      <c r="H103" s="11"/>
      <c r="I103" s="11"/>
      <c r="J103" s="13"/>
    </row>
    <row r="104" spans="1:10" x14ac:dyDescent="0.2">
      <c r="A104" s="92"/>
      <c r="B104" s="87"/>
      <c r="C104" s="88"/>
      <c r="D104" s="48"/>
      <c r="E104" s="48"/>
      <c r="F104" s="50"/>
      <c r="G104" s="12"/>
      <c r="H104" s="11"/>
      <c r="I104" s="11"/>
      <c r="J104" s="14"/>
    </row>
    <row r="105" spans="1:10" x14ac:dyDescent="0.2">
      <c r="A105" s="92"/>
      <c r="B105" s="87"/>
      <c r="C105" s="88"/>
      <c r="D105" s="48"/>
      <c r="E105" s="48"/>
      <c r="F105" s="50"/>
      <c r="G105" s="12"/>
      <c r="H105" s="11"/>
      <c r="I105" s="11"/>
      <c r="J105" s="14"/>
    </row>
    <row r="106" spans="1:10" x14ac:dyDescent="0.2">
      <c r="A106" s="92"/>
      <c r="B106" s="87" t="s">
        <v>11</v>
      </c>
      <c r="C106" s="88">
        <f>C102+1</f>
        <v>44222</v>
      </c>
      <c r="D106" s="48"/>
      <c r="E106" s="48"/>
      <c r="F106" s="50"/>
      <c r="G106" s="12"/>
      <c r="H106" s="11"/>
      <c r="I106" s="11"/>
      <c r="J106" s="15"/>
    </row>
    <row r="107" spans="1:10" x14ac:dyDescent="0.2">
      <c r="A107" s="92"/>
      <c r="B107" s="87"/>
      <c r="C107" s="88"/>
      <c r="D107" s="48"/>
      <c r="E107" s="12"/>
      <c r="F107" s="50"/>
      <c r="G107" s="12"/>
      <c r="H107" s="11"/>
      <c r="I107" s="11"/>
      <c r="J107" s="14"/>
    </row>
    <row r="108" spans="1:10" x14ac:dyDescent="0.2">
      <c r="A108" s="92"/>
      <c r="B108" s="87"/>
      <c r="C108" s="88"/>
      <c r="D108" s="12"/>
      <c r="E108" s="12"/>
      <c r="F108" s="11"/>
      <c r="G108" s="12"/>
      <c r="H108" s="11"/>
      <c r="I108" s="11"/>
      <c r="J108" s="14"/>
    </row>
    <row r="109" spans="1:10" x14ac:dyDescent="0.2">
      <c r="A109" s="92"/>
      <c r="B109" s="87"/>
      <c r="C109" s="88"/>
      <c r="D109" s="12"/>
      <c r="E109" s="48"/>
      <c r="F109" s="11"/>
      <c r="G109" s="12"/>
      <c r="H109" s="11"/>
      <c r="I109" s="11"/>
      <c r="J109" s="14"/>
    </row>
    <row r="110" spans="1:10" x14ac:dyDescent="0.2">
      <c r="A110" s="92"/>
      <c r="B110" s="87" t="s">
        <v>12</v>
      </c>
      <c r="C110" s="88">
        <f t="shared" ref="C110" si="16">C106+1</f>
        <v>44223</v>
      </c>
      <c r="D110" s="48"/>
      <c r="E110" s="12"/>
      <c r="F110" s="11"/>
      <c r="G110" s="12"/>
      <c r="H110" s="11"/>
      <c r="I110" s="11"/>
      <c r="J110" s="15"/>
    </row>
    <row r="111" spans="1:10" x14ac:dyDescent="0.2">
      <c r="A111" s="92"/>
      <c r="B111" s="87"/>
      <c r="C111" s="88"/>
      <c r="D111" s="12"/>
      <c r="E111" s="12"/>
      <c r="F111" s="11"/>
      <c r="G111" s="12"/>
      <c r="H111" s="11"/>
      <c r="I111" s="11"/>
      <c r="J111" s="15"/>
    </row>
    <row r="112" spans="1:10" x14ac:dyDescent="0.2">
      <c r="A112" s="92"/>
      <c r="B112" s="87"/>
      <c r="C112" s="88"/>
      <c r="D112" s="12"/>
      <c r="E112" s="12"/>
      <c r="F112" s="11"/>
      <c r="G112" s="12"/>
      <c r="H112" s="11"/>
      <c r="I112" s="11"/>
      <c r="J112" s="14"/>
    </row>
    <row r="113" spans="1:10" x14ac:dyDescent="0.2">
      <c r="A113" s="92"/>
      <c r="B113" s="87"/>
      <c r="C113" s="88"/>
      <c r="D113" s="12"/>
      <c r="E113" s="48"/>
      <c r="F113" s="11"/>
      <c r="G113" s="12"/>
      <c r="H113" s="11"/>
      <c r="I113" s="11"/>
      <c r="J113" s="14"/>
    </row>
    <row r="114" spans="1:10" x14ac:dyDescent="0.2">
      <c r="A114" s="92"/>
      <c r="B114" s="87" t="s">
        <v>13</v>
      </c>
      <c r="C114" s="88">
        <f t="shared" ref="C114" si="17">C110+1</f>
        <v>44224</v>
      </c>
      <c r="D114" s="48"/>
      <c r="E114" s="12"/>
      <c r="F114" s="11"/>
      <c r="G114" s="12"/>
      <c r="H114" s="11"/>
      <c r="I114" s="11"/>
      <c r="J114" s="14"/>
    </row>
    <row r="115" spans="1:10" x14ac:dyDescent="0.2">
      <c r="A115" s="92"/>
      <c r="B115" s="87"/>
      <c r="C115" s="88"/>
      <c r="D115" s="12"/>
      <c r="E115" s="12"/>
      <c r="F115" s="11"/>
      <c r="G115" s="12"/>
      <c r="H115" s="3"/>
      <c r="I115" s="11"/>
      <c r="J115" s="15"/>
    </row>
    <row r="116" spans="1:10" x14ac:dyDescent="0.2">
      <c r="A116" s="92"/>
      <c r="B116" s="87"/>
      <c r="C116" s="88"/>
      <c r="D116" s="12"/>
      <c r="E116" s="12"/>
      <c r="F116" s="11"/>
      <c r="G116" s="12"/>
      <c r="H116" s="11"/>
      <c r="I116" s="11"/>
      <c r="J116" s="14"/>
    </row>
    <row r="117" spans="1:10" x14ac:dyDescent="0.2">
      <c r="A117" s="92"/>
      <c r="B117" s="87"/>
      <c r="C117" s="88"/>
      <c r="D117" s="12"/>
      <c r="E117" s="12"/>
      <c r="F117" s="11"/>
      <c r="G117" s="12"/>
      <c r="H117" s="11"/>
      <c r="I117" s="11"/>
      <c r="J117" s="14"/>
    </row>
    <row r="118" spans="1:10" x14ac:dyDescent="0.2">
      <c r="A118" s="92"/>
      <c r="B118" s="87" t="s">
        <v>14</v>
      </c>
      <c r="C118" s="88">
        <f t="shared" ref="C118" si="18">C114+1</f>
        <v>44225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2"/>
      <c r="B119" s="87"/>
      <c r="C119" s="88"/>
      <c r="D119" s="12"/>
      <c r="E119" s="12"/>
      <c r="F119" s="11"/>
      <c r="G119" s="12"/>
      <c r="H119" s="11"/>
      <c r="I119" s="11"/>
      <c r="J119" s="14"/>
    </row>
    <row r="120" spans="1:10" x14ac:dyDescent="0.2">
      <c r="A120" s="92"/>
      <c r="B120" s="87"/>
      <c r="C120" s="88"/>
      <c r="D120" s="12"/>
      <c r="E120" s="12"/>
      <c r="F120" s="11"/>
      <c r="G120" s="12"/>
      <c r="H120" s="11"/>
      <c r="I120" s="11"/>
      <c r="J120" s="14"/>
    </row>
    <row r="121" spans="1:10" x14ac:dyDescent="0.2">
      <c r="A121" s="92"/>
      <c r="B121" s="87"/>
      <c r="C121" s="88"/>
      <c r="D121" s="12"/>
      <c r="E121" s="48"/>
      <c r="F121" s="11"/>
      <c r="G121" s="12"/>
      <c r="H121" s="11"/>
      <c r="I121" s="11"/>
      <c r="J121" s="14"/>
    </row>
    <row r="122" spans="1:10" x14ac:dyDescent="0.2">
      <c r="A122" s="92"/>
      <c r="B122" s="87" t="s">
        <v>27</v>
      </c>
      <c r="C122" s="88">
        <f t="shared" ref="C122" si="19">C118+1</f>
        <v>44226</v>
      </c>
      <c r="D122" s="48"/>
      <c r="E122" s="12"/>
      <c r="F122" s="11"/>
      <c r="G122" s="12"/>
      <c r="H122" s="11"/>
      <c r="I122" s="11"/>
      <c r="J122" s="14"/>
    </row>
    <row r="123" spans="1:10" x14ac:dyDescent="0.2">
      <c r="A123" s="92"/>
      <c r="B123" s="87"/>
      <c r="C123" s="88"/>
      <c r="D123" s="12"/>
      <c r="E123" s="12"/>
      <c r="F123" s="11"/>
      <c r="G123" s="12"/>
      <c r="H123" s="11"/>
      <c r="I123" s="11"/>
      <c r="J123" s="14"/>
    </row>
    <row r="124" spans="1:10" x14ac:dyDescent="0.2">
      <c r="A124" s="92"/>
      <c r="B124" s="87"/>
      <c r="C124" s="88"/>
      <c r="D124" s="12"/>
      <c r="E124" s="12"/>
      <c r="F124" s="11"/>
      <c r="G124" s="12"/>
      <c r="H124" s="11"/>
      <c r="I124" s="11"/>
      <c r="J124" s="14"/>
    </row>
    <row r="125" spans="1:10" x14ac:dyDescent="0.2">
      <c r="A125" s="92"/>
      <c r="B125" s="87"/>
      <c r="C125" s="88"/>
      <c r="D125" s="12"/>
      <c r="F125" s="11"/>
      <c r="G125" s="12"/>
      <c r="H125" s="11"/>
      <c r="I125" s="11"/>
      <c r="J125" s="14"/>
    </row>
    <row r="126" spans="1:10" ht="15.75" thickBot="1" x14ac:dyDescent="0.3">
      <c r="A126" s="89"/>
      <c r="B126" s="85"/>
      <c r="C126" s="90"/>
      <c r="D126" s="59"/>
      <c r="E126" s="59"/>
      <c r="F126" s="16"/>
      <c r="G126" s="59"/>
      <c r="H126" s="16"/>
      <c r="I126" s="16"/>
      <c r="J126" s="17" t="str">
        <f>"Wochenstunden: "&amp; SUM($G102:$G125)</f>
        <v>Wochenstunden: 0</v>
      </c>
    </row>
    <row r="127" spans="1:10" x14ac:dyDescent="0.2">
      <c r="A127" s="91">
        <f>WEEKNUM($C127,2)</f>
        <v>6</v>
      </c>
      <c r="B127" s="86" t="s">
        <v>10</v>
      </c>
      <c r="C127" s="93">
        <f>C122+2</f>
        <v>44228</v>
      </c>
      <c r="D127" s="47"/>
      <c r="E127" s="48"/>
      <c r="F127" s="49"/>
      <c r="G127" s="9"/>
      <c r="H127" s="8"/>
      <c r="I127" s="8"/>
      <c r="J127" s="10"/>
    </row>
    <row r="128" spans="1:10" x14ac:dyDescent="0.2">
      <c r="A128" s="92"/>
      <c r="B128" s="87"/>
      <c r="C128" s="88"/>
      <c r="D128" s="48"/>
      <c r="E128" s="48"/>
      <c r="F128" s="50"/>
      <c r="G128" s="12"/>
      <c r="H128" s="11"/>
      <c r="I128" s="11"/>
      <c r="J128" s="13"/>
    </row>
    <row r="129" spans="1:10" x14ac:dyDescent="0.2">
      <c r="A129" s="92"/>
      <c r="B129" s="87"/>
      <c r="C129" s="88"/>
      <c r="D129" s="48"/>
      <c r="E129" s="48"/>
      <c r="F129" s="50"/>
      <c r="G129" s="12"/>
      <c r="H129" s="11"/>
      <c r="I129" s="11"/>
      <c r="J129" s="14"/>
    </row>
    <row r="130" spans="1:10" x14ac:dyDescent="0.2">
      <c r="A130" s="92"/>
      <c r="B130" s="87"/>
      <c r="C130" s="88"/>
      <c r="D130" s="48"/>
      <c r="E130" s="48"/>
      <c r="F130" s="50"/>
      <c r="G130" s="12"/>
      <c r="H130" s="11"/>
      <c r="I130" s="11"/>
      <c r="J130" s="14"/>
    </row>
    <row r="131" spans="1:10" x14ac:dyDescent="0.2">
      <c r="A131" s="92"/>
      <c r="B131" s="87" t="s">
        <v>11</v>
      </c>
      <c r="C131" s="88">
        <f>C127+1</f>
        <v>44229</v>
      </c>
      <c r="D131" s="48"/>
      <c r="E131" s="48"/>
      <c r="F131" s="50"/>
      <c r="G131" s="12"/>
      <c r="H131" s="11"/>
      <c r="I131" s="11"/>
      <c r="J131" s="15"/>
    </row>
    <row r="132" spans="1:10" x14ac:dyDescent="0.2">
      <c r="A132" s="92"/>
      <c r="B132" s="87"/>
      <c r="C132" s="88"/>
      <c r="D132" s="48"/>
      <c r="E132" s="12"/>
      <c r="F132" s="50"/>
      <c r="G132" s="12"/>
      <c r="H132" s="11"/>
      <c r="I132" s="11"/>
      <c r="J132" s="14"/>
    </row>
    <row r="133" spans="1:10" x14ac:dyDescent="0.2">
      <c r="A133" s="92"/>
      <c r="B133" s="87"/>
      <c r="C133" s="88"/>
      <c r="D133" s="12"/>
      <c r="E133" s="12"/>
      <c r="F133" s="11"/>
      <c r="G133" s="12"/>
      <c r="H133" s="11"/>
      <c r="I133" s="11"/>
      <c r="J133" s="14"/>
    </row>
    <row r="134" spans="1:10" x14ac:dyDescent="0.2">
      <c r="A134" s="92"/>
      <c r="B134" s="87"/>
      <c r="C134" s="88"/>
      <c r="D134" s="12"/>
      <c r="E134" s="48"/>
      <c r="F134" s="11"/>
      <c r="G134" s="12"/>
      <c r="H134" s="11"/>
      <c r="I134" s="11"/>
      <c r="J134" s="14"/>
    </row>
    <row r="135" spans="1:10" x14ac:dyDescent="0.2">
      <c r="A135" s="92"/>
      <c r="B135" s="87" t="s">
        <v>12</v>
      </c>
      <c r="C135" s="88">
        <f t="shared" ref="C135" si="20">C131+1</f>
        <v>44230</v>
      </c>
      <c r="D135" s="48"/>
      <c r="E135" s="12"/>
      <c r="F135" s="11"/>
      <c r="G135" s="12"/>
      <c r="H135" s="11"/>
      <c r="I135" s="11"/>
      <c r="J135" s="15"/>
    </row>
    <row r="136" spans="1:10" x14ac:dyDescent="0.2">
      <c r="A136" s="92"/>
      <c r="B136" s="87"/>
      <c r="C136" s="88"/>
      <c r="D136" s="12"/>
      <c r="E136" s="12"/>
      <c r="F136" s="11"/>
      <c r="G136" s="12"/>
      <c r="H136" s="11"/>
      <c r="I136" s="11"/>
      <c r="J136" s="15"/>
    </row>
    <row r="137" spans="1:10" x14ac:dyDescent="0.2">
      <c r="A137" s="92"/>
      <c r="B137" s="87"/>
      <c r="C137" s="88"/>
      <c r="D137" s="12"/>
      <c r="E137" s="12"/>
      <c r="F137" s="11"/>
      <c r="G137" s="12"/>
      <c r="H137" s="11"/>
      <c r="I137" s="11"/>
      <c r="J137" s="14"/>
    </row>
    <row r="138" spans="1:10" x14ac:dyDescent="0.2">
      <c r="A138" s="92"/>
      <c r="B138" s="87"/>
      <c r="C138" s="88"/>
      <c r="D138" s="12"/>
      <c r="E138" s="48"/>
      <c r="F138" s="11"/>
      <c r="G138" s="12"/>
      <c r="H138" s="11"/>
      <c r="I138" s="11"/>
      <c r="J138" s="14"/>
    </row>
    <row r="139" spans="1:10" x14ac:dyDescent="0.2">
      <c r="A139" s="92"/>
      <c r="B139" s="87" t="s">
        <v>13</v>
      </c>
      <c r="C139" s="88">
        <f t="shared" ref="C139" si="21">C135+1</f>
        <v>44231</v>
      </c>
      <c r="D139" s="48"/>
      <c r="E139" s="12"/>
      <c r="F139" s="11"/>
      <c r="G139" s="12"/>
      <c r="H139" s="11"/>
      <c r="I139" s="11"/>
      <c r="J139" s="14"/>
    </row>
    <row r="140" spans="1:10" x14ac:dyDescent="0.2">
      <c r="A140" s="92"/>
      <c r="B140" s="87"/>
      <c r="C140" s="88"/>
      <c r="D140" s="12"/>
      <c r="E140" s="12"/>
      <c r="F140" s="11"/>
      <c r="G140" s="12"/>
      <c r="H140" s="3"/>
      <c r="I140" s="11"/>
      <c r="J140" s="15"/>
    </row>
    <row r="141" spans="1:10" x14ac:dyDescent="0.2">
      <c r="A141" s="92"/>
      <c r="B141" s="87"/>
      <c r="C141" s="88"/>
      <c r="D141" s="12"/>
      <c r="E141" s="12"/>
      <c r="F141" s="11"/>
      <c r="G141" s="12"/>
      <c r="H141" s="11"/>
      <c r="I141" s="11"/>
      <c r="J141" s="14"/>
    </row>
    <row r="142" spans="1:10" x14ac:dyDescent="0.2">
      <c r="A142" s="92"/>
      <c r="B142" s="87"/>
      <c r="C142" s="88"/>
      <c r="D142" s="12"/>
      <c r="E142" s="12"/>
      <c r="F142" s="11"/>
      <c r="G142" s="12"/>
      <c r="H142" s="11"/>
      <c r="I142" s="11"/>
      <c r="J142" s="14"/>
    </row>
    <row r="143" spans="1:10" x14ac:dyDescent="0.2">
      <c r="A143" s="92"/>
      <c r="B143" s="87" t="s">
        <v>14</v>
      </c>
      <c r="C143" s="88">
        <f t="shared" ref="C143" si="22">C139+1</f>
        <v>44232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2"/>
      <c r="B144" s="87"/>
      <c r="C144" s="88"/>
      <c r="D144" s="12"/>
      <c r="E144" s="12"/>
      <c r="F144" s="11"/>
      <c r="G144" s="12"/>
      <c r="H144" s="11"/>
      <c r="I144" s="11"/>
      <c r="J144" s="14"/>
    </row>
    <row r="145" spans="1:10" x14ac:dyDescent="0.2">
      <c r="A145" s="92"/>
      <c r="B145" s="87"/>
      <c r="C145" s="88"/>
      <c r="D145" s="12"/>
      <c r="E145" s="12"/>
      <c r="F145" s="11"/>
      <c r="G145" s="12"/>
      <c r="H145" s="11"/>
      <c r="I145" s="11"/>
      <c r="J145" s="14"/>
    </row>
    <row r="146" spans="1:10" x14ac:dyDescent="0.2">
      <c r="A146" s="92"/>
      <c r="B146" s="87"/>
      <c r="C146" s="88"/>
      <c r="D146" s="12"/>
      <c r="E146" s="48"/>
      <c r="F146" s="11"/>
      <c r="G146" s="12"/>
      <c r="H146" s="11"/>
      <c r="I146" s="11"/>
      <c r="J146" s="14"/>
    </row>
    <row r="147" spans="1:10" x14ac:dyDescent="0.2">
      <c r="A147" s="92"/>
      <c r="B147" s="87" t="s">
        <v>27</v>
      </c>
      <c r="C147" s="88">
        <f t="shared" ref="C147" si="23">C143+1</f>
        <v>44233</v>
      </c>
      <c r="D147" s="48"/>
      <c r="E147" s="12"/>
      <c r="F147" s="11"/>
      <c r="G147" s="12"/>
      <c r="H147" s="11"/>
      <c r="I147" s="11"/>
      <c r="J147" s="14"/>
    </row>
    <row r="148" spans="1:10" x14ac:dyDescent="0.2">
      <c r="A148" s="92"/>
      <c r="B148" s="87"/>
      <c r="C148" s="88"/>
      <c r="D148" s="12"/>
      <c r="E148" s="12"/>
      <c r="F148" s="11"/>
      <c r="G148" s="12"/>
      <c r="H148" s="11"/>
      <c r="I148" s="11"/>
      <c r="J148" s="14"/>
    </row>
    <row r="149" spans="1:10" x14ac:dyDescent="0.2">
      <c r="A149" s="92"/>
      <c r="B149" s="87"/>
      <c r="C149" s="88"/>
      <c r="D149" s="12"/>
      <c r="E149" s="12"/>
      <c r="F149" s="11"/>
      <c r="G149" s="12"/>
      <c r="H149" s="11"/>
      <c r="I149" s="11"/>
      <c r="J149" s="14"/>
    </row>
    <row r="150" spans="1:10" x14ac:dyDescent="0.2">
      <c r="A150" s="92"/>
      <c r="B150" s="87"/>
      <c r="C150" s="88"/>
      <c r="D150" s="12"/>
      <c r="F150" s="11"/>
      <c r="G150" s="12"/>
      <c r="H150" s="11"/>
      <c r="I150" s="11"/>
      <c r="J150" s="14"/>
    </row>
    <row r="151" spans="1:10" ht="15.75" thickBot="1" x14ac:dyDescent="0.3">
      <c r="A151" s="89"/>
      <c r="B151" s="85"/>
      <c r="C151" s="90"/>
      <c r="D151" s="59"/>
      <c r="E151" s="59"/>
      <c r="F151" s="16"/>
      <c r="G151" s="59"/>
      <c r="H151" s="16"/>
      <c r="I151" s="16"/>
      <c r="J151" s="17" t="str">
        <f>"Wochenstunden: "&amp; SUM($G127:$G150)</f>
        <v>Wochenstunden: 0</v>
      </c>
    </row>
    <row r="152" spans="1:10" x14ac:dyDescent="0.2">
      <c r="A152" s="91">
        <f>WEEKNUM($C152,2)</f>
        <v>7</v>
      </c>
      <c r="B152" s="86" t="s">
        <v>10</v>
      </c>
      <c r="C152" s="93">
        <f>C147+2</f>
        <v>44235</v>
      </c>
      <c r="D152" s="47"/>
      <c r="E152" s="48"/>
      <c r="F152" s="49"/>
      <c r="G152" s="9"/>
      <c r="H152" s="8"/>
      <c r="I152" s="8"/>
      <c r="J152" s="10"/>
    </row>
    <row r="153" spans="1:10" x14ac:dyDescent="0.2">
      <c r="A153" s="92"/>
      <c r="B153" s="87"/>
      <c r="C153" s="88"/>
      <c r="D153" s="48"/>
      <c r="E153" s="48"/>
      <c r="F153" s="50"/>
      <c r="G153" s="12"/>
      <c r="H153" s="11"/>
      <c r="I153" s="11"/>
      <c r="J153" s="13"/>
    </row>
    <row r="154" spans="1:10" x14ac:dyDescent="0.2">
      <c r="A154" s="92"/>
      <c r="B154" s="87"/>
      <c r="C154" s="88"/>
      <c r="D154" s="48"/>
      <c r="E154" s="48"/>
      <c r="F154" s="50"/>
      <c r="G154" s="12"/>
      <c r="H154" s="11"/>
      <c r="I154" s="11"/>
      <c r="J154" s="14"/>
    </row>
    <row r="155" spans="1:10" x14ac:dyDescent="0.2">
      <c r="A155" s="92"/>
      <c r="B155" s="87"/>
      <c r="C155" s="88"/>
      <c r="D155" s="48"/>
      <c r="E155" s="48"/>
      <c r="F155" s="50"/>
      <c r="G155" s="12"/>
      <c r="H155" s="11"/>
      <c r="I155" s="11"/>
      <c r="J155" s="14"/>
    </row>
    <row r="156" spans="1:10" x14ac:dyDescent="0.2">
      <c r="A156" s="92"/>
      <c r="B156" s="87" t="s">
        <v>11</v>
      </c>
      <c r="C156" s="88">
        <f>C152+1</f>
        <v>44236</v>
      </c>
      <c r="D156" s="48"/>
      <c r="E156" s="48"/>
      <c r="F156" s="50"/>
      <c r="G156" s="12"/>
      <c r="H156" s="11"/>
      <c r="I156" s="11"/>
      <c r="J156" s="15"/>
    </row>
    <row r="157" spans="1:10" x14ac:dyDescent="0.2">
      <c r="A157" s="92"/>
      <c r="B157" s="87"/>
      <c r="C157" s="88"/>
      <c r="D157" s="48"/>
      <c r="E157" s="12"/>
      <c r="F157" s="50"/>
      <c r="G157" s="12"/>
      <c r="H157" s="11"/>
      <c r="I157" s="11"/>
      <c r="J157" s="14"/>
    </row>
    <row r="158" spans="1:10" x14ac:dyDescent="0.2">
      <c r="A158" s="92"/>
      <c r="B158" s="87"/>
      <c r="C158" s="88"/>
      <c r="D158" s="12"/>
      <c r="E158" s="12"/>
      <c r="F158" s="11"/>
      <c r="G158" s="12"/>
      <c r="H158" s="11"/>
      <c r="I158" s="11"/>
      <c r="J158" s="14"/>
    </row>
    <row r="159" spans="1:10" x14ac:dyDescent="0.2">
      <c r="A159" s="92"/>
      <c r="B159" s="87"/>
      <c r="C159" s="88"/>
      <c r="D159" s="12"/>
      <c r="E159" s="48"/>
      <c r="F159" s="11"/>
      <c r="G159" s="12"/>
      <c r="H159" s="11"/>
      <c r="I159" s="11"/>
      <c r="J159" s="14"/>
    </row>
    <row r="160" spans="1:10" x14ac:dyDescent="0.2">
      <c r="A160" s="92"/>
      <c r="B160" s="87" t="s">
        <v>12</v>
      </c>
      <c r="C160" s="88">
        <f t="shared" ref="C160" si="24">C156+1</f>
        <v>44237</v>
      </c>
      <c r="D160" s="48"/>
      <c r="E160" s="12"/>
      <c r="F160" s="11"/>
      <c r="G160" s="12"/>
      <c r="H160" s="11"/>
      <c r="I160" s="11"/>
      <c r="J160" s="15"/>
    </row>
    <row r="161" spans="1:10" x14ac:dyDescent="0.2">
      <c r="A161" s="92"/>
      <c r="B161" s="87"/>
      <c r="C161" s="88"/>
      <c r="D161" s="12"/>
      <c r="E161" s="12"/>
      <c r="F161" s="11"/>
      <c r="G161" s="12"/>
      <c r="H161" s="11"/>
      <c r="I161" s="11"/>
      <c r="J161" s="15"/>
    </row>
    <row r="162" spans="1:10" x14ac:dyDescent="0.2">
      <c r="A162" s="92"/>
      <c r="B162" s="87"/>
      <c r="C162" s="88"/>
      <c r="D162" s="12"/>
      <c r="E162" s="12"/>
      <c r="F162" s="11"/>
      <c r="G162" s="12"/>
      <c r="H162" s="11"/>
      <c r="I162" s="11"/>
      <c r="J162" s="14"/>
    </row>
    <row r="163" spans="1:10" x14ac:dyDescent="0.2">
      <c r="A163" s="92"/>
      <c r="B163" s="87"/>
      <c r="C163" s="88"/>
      <c r="D163" s="12"/>
      <c r="E163" s="48"/>
      <c r="F163" s="11"/>
      <c r="G163" s="12"/>
      <c r="H163" s="11"/>
      <c r="I163" s="11"/>
      <c r="J163" s="14"/>
    </row>
    <row r="164" spans="1:10" x14ac:dyDescent="0.2">
      <c r="A164" s="92"/>
      <c r="B164" s="87" t="s">
        <v>13</v>
      </c>
      <c r="C164" s="88">
        <f t="shared" ref="C164" si="25">C160+1</f>
        <v>44238</v>
      </c>
      <c r="D164" s="48"/>
      <c r="E164" s="12"/>
      <c r="F164" s="11"/>
      <c r="G164" s="12"/>
      <c r="H164" s="11"/>
      <c r="I164" s="11"/>
      <c r="J164" s="14"/>
    </row>
    <row r="165" spans="1:10" x14ac:dyDescent="0.2">
      <c r="A165" s="92"/>
      <c r="B165" s="87"/>
      <c r="C165" s="88"/>
      <c r="D165" s="12"/>
      <c r="E165" s="12"/>
      <c r="F165" s="11"/>
      <c r="G165" s="12"/>
      <c r="H165" s="3"/>
      <c r="I165" s="11"/>
      <c r="J165" s="15"/>
    </row>
    <row r="166" spans="1:10" x14ac:dyDescent="0.2">
      <c r="A166" s="92"/>
      <c r="B166" s="87"/>
      <c r="C166" s="88"/>
      <c r="D166" s="12"/>
      <c r="E166" s="12"/>
      <c r="F166" s="11"/>
      <c r="G166" s="12"/>
      <c r="H166" s="11"/>
      <c r="I166" s="11"/>
      <c r="J166" s="14"/>
    </row>
    <row r="167" spans="1:10" x14ac:dyDescent="0.2">
      <c r="A167" s="92"/>
      <c r="B167" s="87"/>
      <c r="C167" s="88"/>
      <c r="D167" s="12"/>
      <c r="E167" s="12"/>
      <c r="F167" s="11"/>
      <c r="G167" s="12"/>
      <c r="H167" s="11"/>
      <c r="I167" s="11"/>
      <c r="J167" s="14"/>
    </row>
    <row r="168" spans="1:10" x14ac:dyDescent="0.2">
      <c r="A168" s="92"/>
      <c r="B168" s="87" t="s">
        <v>14</v>
      </c>
      <c r="C168" s="88">
        <f t="shared" ref="C168" si="26">C164+1</f>
        <v>44239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2"/>
      <c r="B169" s="87"/>
      <c r="C169" s="88"/>
      <c r="D169" s="12"/>
      <c r="E169" s="12"/>
      <c r="F169" s="11"/>
      <c r="G169" s="12"/>
      <c r="H169" s="11"/>
      <c r="I169" s="11"/>
      <c r="J169" s="14"/>
    </row>
    <row r="170" spans="1:10" x14ac:dyDescent="0.2">
      <c r="A170" s="92"/>
      <c r="B170" s="87"/>
      <c r="C170" s="88"/>
      <c r="D170" s="12"/>
      <c r="E170" s="12"/>
      <c r="F170" s="11"/>
      <c r="G170" s="12"/>
      <c r="H170" s="11"/>
      <c r="I170" s="11"/>
      <c r="J170" s="14"/>
    </row>
    <row r="171" spans="1:10" x14ac:dyDescent="0.2">
      <c r="A171" s="92"/>
      <c r="B171" s="87"/>
      <c r="C171" s="88"/>
      <c r="D171" s="12"/>
      <c r="E171" s="48"/>
      <c r="F171" s="11"/>
      <c r="G171" s="12"/>
      <c r="H171" s="11"/>
      <c r="I171" s="11"/>
      <c r="J171" s="14"/>
    </row>
    <row r="172" spans="1:10" x14ac:dyDescent="0.2">
      <c r="A172" s="92"/>
      <c r="B172" s="87" t="s">
        <v>27</v>
      </c>
      <c r="C172" s="88">
        <f t="shared" ref="C172" si="27">C168+1</f>
        <v>44240</v>
      </c>
      <c r="D172" s="48"/>
      <c r="E172" s="12"/>
      <c r="F172" s="11"/>
      <c r="G172" s="12"/>
      <c r="H172" s="11"/>
      <c r="I172" s="11"/>
      <c r="J172" s="14"/>
    </row>
    <row r="173" spans="1:10" x14ac:dyDescent="0.2">
      <c r="A173" s="92"/>
      <c r="B173" s="87"/>
      <c r="C173" s="88"/>
      <c r="D173" s="12"/>
      <c r="E173" s="12"/>
      <c r="F173" s="11"/>
      <c r="G173" s="12"/>
      <c r="H173" s="11"/>
      <c r="I173" s="11"/>
      <c r="J173" s="14"/>
    </row>
    <row r="174" spans="1:10" x14ac:dyDescent="0.2">
      <c r="A174" s="92"/>
      <c r="B174" s="87"/>
      <c r="C174" s="88"/>
      <c r="D174" s="12"/>
      <c r="E174" s="12"/>
      <c r="F174" s="11"/>
      <c r="G174" s="12"/>
      <c r="H174" s="11"/>
      <c r="I174" s="11"/>
      <c r="J174" s="14"/>
    </row>
    <row r="175" spans="1:10" x14ac:dyDescent="0.2">
      <c r="A175" s="92"/>
      <c r="B175" s="87"/>
      <c r="C175" s="88"/>
      <c r="D175" s="12"/>
      <c r="F175" s="11"/>
      <c r="G175" s="12"/>
      <c r="H175" s="11"/>
      <c r="I175" s="11"/>
      <c r="J175" s="14"/>
    </row>
    <row r="176" spans="1:10" ht="15.75" thickBot="1" x14ac:dyDescent="0.3">
      <c r="A176" s="89"/>
      <c r="B176" s="85"/>
      <c r="C176" s="90"/>
      <c r="D176" s="59"/>
      <c r="E176" s="59"/>
      <c r="F176" s="16"/>
      <c r="G176" s="59"/>
      <c r="H176" s="16"/>
      <c r="I176" s="16"/>
      <c r="J176" s="17" t="str">
        <f>"Wochenstunden: "&amp; SUM($G152:$G175)</f>
        <v>Wochenstunden: 0</v>
      </c>
    </row>
    <row r="177" spans="1:10" x14ac:dyDescent="0.2">
      <c r="A177" s="91">
        <f>WEEKNUM($C177,2)</f>
        <v>8</v>
      </c>
      <c r="B177" s="86" t="s">
        <v>10</v>
      </c>
      <c r="C177" s="93">
        <f>C172+2</f>
        <v>44242</v>
      </c>
      <c r="D177" s="47"/>
      <c r="E177" s="48"/>
      <c r="F177" s="49"/>
      <c r="G177" s="9"/>
      <c r="H177" s="8"/>
      <c r="I177" s="8"/>
      <c r="J177" s="10"/>
    </row>
    <row r="178" spans="1:10" x14ac:dyDescent="0.2">
      <c r="A178" s="92"/>
      <c r="B178" s="87"/>
      <c r="C178" s="88"/>
      <c r="D178" s="48"/>
      <c r="E178" s="48"/>
      <c r="F178" s="50"/>
      <c r="G178" s="12"/>
      <c r="H178" s="11"/>
      <c r="I178" s="11"/>
      <c r="J178" s="13"/>
    </row>
    <row r="179" spans="1:10" x14ac:dyDescent="0.2">
      <c r="A179" s="92"/>
      <c r="B179" s="87"/>
      <c r="C179" s="88"/>
      <c r="D179" s="48"/>
      <c r="E179" s="48"/>
      <c r="F179" s="50"/>
      <c r="G179" s="12"/>
      <c r="H179" s="11"/>
      <c r="I179" s="11"/>
      <c r="J179" s="14"/>
    </row>
    <row r="180" spans="1:10" x14ac:dyDescent="0.2">
      <c r="A180" s="92"/>
      <c r="B180" s="87"/>
      <c r="C180" s="88"/>
      <c r="D180" s="48"/>
      <c r="E180" s="48"/>
      <c r="F180" s="50"/>
      <c r="G180" s="12"/>
      <c r="H180" s="11"/>
      <c r="I180" s="11"/>
      <c r="J180" s="14"/>
    </row>
    <row r="181" spans="1:10" x14ac:dyDescent="0.2">
      <c r="A181" s="92"/>
      <c r="B181" s="87" t="s">
        <v>11</v>
      </c>
      <c r="C181" s="88">
        <f>C177+1</f>
        <v>44243</v>
      </c>
      <c r="D181" s="48"/>
      <c r="E181" s="48"/>
      <c r="F181" s="50"/>
      <c r="G181" s="12"/>
      <c r="H181" s="11"/>
      <c r="I181" s="11"/>
      <c r="J181" s="15"/>
    </row>
    <row r="182" spans="1:10" x14ac:dyDescent="0.2">
      <c r="A182" s="92"/>
      <c r="B182" s="87"/>
      <c r="C182" s="88"/>
      <c r="D182" s="48"/>
      <c r="E182" s="12"/>
      <c r="F182" s="50"/>
      <c r="G182" s="12"/>
      <c r="H182" s="11"/>
      <c r="I182" s="11"/>
      <c r="J182" s="14"/>
    </row>
    <row r="183" spans="1:10" x14ac:dyDescent="0.2">
      <c r="A183" s="92"/>
      <c r="B183" s="87"/>
      <c r="C183" s="88"/>
      <c r="D183" s="12"/>
      <c r="E183" s="12"/>
      <c r="F183" s="11"/>
      <c r="G183" s="12"/>
      <c r="H183" s="11"/>
      <c r="I183" s="11"/>
      <c r="J183" s="14"/>
    </row>
    <row r="184" spans="1:10" x14ac:dyDescent="0.2">
      <c r="A184" s="92"/>
      <c r="B184" s="87"/>
      <c r="C184" s="88"/>
      <c r="D184" s="12"/>
      <c r="E184" s="48"/>
      <c r="F184" s="11"/>
      <c r="G184" s="12"/>
      <c r="H184" s="11"/>
      <c r="I184" s="11"/>
      <c r="J184" s="14"/>
    </row>
    <row r="185" spans="1:10" x14ac:dyDescent="0.2">
      <c r="A185" s="92"/>
      <c r="B185" s="87" t="s">
        <v>12</v>
      </c>
      <c r="C185" s="88">
        <f t="shared" ref="C185" si="28">C181+1</f>
        <v>44244</v>
      </c>
      <c r="D185" s="48"/>
      <c r="E185" s="12"/>
      <c r="F185" s="11"/>
      <c r="G185" s="12"/>
      <c r="H185" s="11"/>
      <c r="I185" s="11"/>
      <c r="J185" s="15"/>
    </row>
    <row r="186" spans="1:10" x14ac:dyDescent="0.2">
      <c r="A186" s="92"/>
      <c r="B186" s="87"/>
      <c r="C186" s="88"/>
      <c r="D186" s="12"/>
      <c r="E186" s="12"/>
      <c r="F186" s="11"/>
      <c r="G186" s="12"/>
      <c r="H186" s="11"/>
      <c r="I186" s="11"/>
      <c r="J186" s="15"/>
    </row>
    <row r="187" spans="1:10" x14ac:dyDescent="0.2">
      <c r="A187" s="92"/>
      <c r="B187" s="87"/>
      <c r="C187" s="88"/>
      <c r="D187" s="12"/>
      <c r="E187" s="12"/>
      <c r="F187" s="11"/>
      <c r="G187" s="12"/>
      <c r="H187" s="11"/>
      <c r="I187" s="11"/>
      <c r="J187" s="14"/>
    </row>
    <row r="188" spans="1:10" x14ac:dyDescent="0.2">
      <c r="A188" s="92"/>
      <c r="B188" s="87"/>
      <c r="C188" s="88"/>
      <c r="D188" s="12"/>
      <c r="E188" s="48"/>
      <c r="F188" s="11"/>
      <c r="G188" s="12"/>
      <c r="H188" s="11"/>
      <c r="I188" s="11"/>
      <c r="J188" s="14"/>
    </row>
    <row r="189" spans="1:10" x14ac:dyDescent="0.2">
      <c r="A189" s="92"/>
      <c r="B189" s="87" t="s">
        <v>13</v>
      </c>
      <c r="C189" s="88">
        <f t="shared" ref="C189" si="29">C185+1</f>
        <v>44245</v>
      </c>
      <c r="D189" s="48"/>
      <c r="E189" s="12"/>
      <c r="F189" s="11"/>
      <c r="G189" s="12"/>
      <c r="H189" s="11"/>
      <c r="I189" s="11"/>
      <c r="J189" s="14"/>
    </row>
    <row r="190" spans="1:10" x14ac:dyDescent="0.2">
      <c r="A190" s="92"/>
      <c r="B190" s="87"/>
      <c r="C190" s="88"/>
      <c r="D190" s="12"/>
      <c r="E190" s="12"/>
      <c r="F190" s="11"/>
      <c r="G190" s="12"/>
      <c r="H190" s="3"/>
      <c r="I190" s="11"/>
      <c r="J190" s="15"/>
    </row>
    <row r="191" spans="1:10" x14ac:dyDescent="0.2">
      <c r="A191" s="92"/>
      <c r="B191" s="87"/>
      <c r="C191" s="88"/>
      <c r="D191" s="12"/>
      <c r="E191" s="12"/>
      <c r="F191" s="11"/>
      <c r="G191" s="12"/>
      <c r="H191" s="11"/>
      <c r="I191" s="11"/>
      <c r="J191" s="14"/>
    </row>
    <row r="192" spans="1:10" x14ac:dyDescent="0.2">
      <c r="A192" s="92"/>
      <c r="B192" s="87"/>
      <c r="C192" s="88"/>
      <c r="D192" s="12"/>
      <c r="E192" s="12"/>
      <c r="F192" s="11"/>
      <c r="G192" s="12"/>
      <c r="H192" s="11"/>
      <c r="I192" s="11"/>
      <c r="J192" s="14"/>
    </row>
    <row r="193" spans="1:10" x14ac:dyDescent="0.2">
      <c r="A193" s="92"/>
      <c r="B193" s="87" t="s">
        <v>14</v>
      </c>
      <c r="C193" s="88">
        <f t="shared" ref="C193" si="30">C189+1</f>
        <v>44246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2"/>
      <c r="B194" s="87"/>
      <c r="C194" s="88"/>
      <c r="D194" s="12"/>
      <c r="E194" s="12"/>
      <c r="F194" s="11"/>
      <c r="G194" s="12"/>
      <c r="H194" s="11"/>
      <c r="I194" s="11"/>
      <c r="J194" s="14"/>
    </row>
    <row r="195" spans="1:10" x14ac:dyDescent="0.2">
      <c r="A195" s="92"/>
      <c r="B195" s="87"/>
      <c r="C195" s="88"/>
      <c r="D195" s="12"/>
      <c r="E195" s="12"/>
      <c r="F195" s="11"/>
      <c r="G195" s="12"/>
      <c r="H195" s="11"/>
      <c r="I195" s="11"/>
      <c r="J195" s="14"/>
    </row>
    <row r="196" spans="1:10" x14ac:dyDescent="0.2">
      <c r="A196" s="92"/>
      <c r="B196" s="87"/>
      <c r="C196" s="88"/>
      <c r="D196" s="12"/>
      <c r="E196" s="48"/>
      <c r="F196" s="11"/>
      <c r="G196" s="12"/>
      <c r="H196" s="11"/>
      <c r="I196" s="11"/>
      <c r="J196" s="14"/>
    </row>
    <row r="197" spans="1:10" x14ac:dyDescent="0.2">
      <c r="A197" s="92"/>
      <c r="B197" s="87" t="s">
        <v>27</v>
      </c>
      <c r="C197" s="88">
        <f t="shared" ref="C197" si="31">C193+1</f>
        <v>44247</v>
      </c>
      <c r="D197" s="48"/>
      <c r="E197" s="12"/>
      <c r="F197" s="11"/>
      <c r="G197" s="12"/>
      <c r="H197" s="11"/>
      <c r="I197" s="11"/>
      <c r="J197" s="14"/>
    </row>
    <row r="198" spans="1:10" x14ac:dyDescent="0.2">
      <c r="A198" s="92"/>
      <c r="B198" s="87"/>
      <c r="C198" s="88"/>
      <c r="D198" s="12"/>
      <c r="E198" s="12"/>
      <c r="F198" s="11"/>
      <c r="G198" s="12"/>
      <c r="H198" s="11"/>
      <c r="I198" s="11"/>
      <c r="J198" s="14"/>
    </row>
    <row r="199" spans="1:10" x14ac:dyDescent="0.2">
      <c r="A199" s="92"/>
      <c r="B199" s="87"/>
      <c r="C199" s="88"/>
      <c r="D199" s="12"/>
      <c r="E199" s="12"/>
      <c r="F199" s="11"/>
      <c r="G199" s="12"/>
      <c r="H199" s="11"/>
      <c r="I199" s="11"/>
      <c r="J199" s="14"/>
    </row>
    <row r="200" spans="1:10" x14ac:dyDescent="0.2">
      <c r="A200" s="92"/>
      <c r="B200" s="87"/>
      <c r="C200" s="88"/>
      <c r="D200" s="12"/>
      <c r="F200" s="11"/>
      <c r="G200" s="12"/>
      <c r="H200" s="11"/>
      <c r="I200" s="11"/>
      <c r="J200" s="14"/>
    </row>
    <row r="201" spans="1:10" ht="15.75" thickBot="1" x14ac:dyDescent="0.3">
      <c r="A201" s="89"/>
      <c r="B201" s="85"/>
      <c r="C201" s="90"/>
      <c r="D201" s="59"/>
      <c r="E201" s="59"/>
      <c r="F201" s="16"/>
      <c r="G201" s="59"/>
      <c r="H201" s="16"/>
      <c r="I201" s="16"/>
      <c r="J201" s="17" t="str">
        <f>"Wochenstunden: "&amp; SUM($G177:$G200)</f>
        <v>Wochenstunden: 0</v>
      </c>
    </row>
    <row r="202" spans="1:10" x14ac:dyDescent="0.2">
      <c r="A202" s="91">
        <f>WEEKNUM($C202,2)</f>
        <v>9</v>
      </c>
      <c r="B202" s="86" t="s">
        <v>10</v>
      </c>
      <c r="C202" s="93">
        <f>C197+2</f>
        <v>44249</v>
      </c>
      <c r="D202" s="47"/>
      <c r="E202" s="48"/>
      <c r="F202" s="49"/>
      <c r="G202" s="9"/>
      <c r="H202" s="8"/>
      <c r="I202" s="8"/>
      <c r="J202" s="10"/>
    </row>
    <row r="203" spans="1:10" x14ac:dyDescent="0.2">
      <c r="A203" s="92"/>
      <c r="B203" s="87"/>
      <c r="C203" s="88"/>
      <c r="D203" s="48"/>
      <c r="E203" s="48"/>
      <c r="F203" s="50"/>
      <c r="G203" s="12"/>
      <c r="H203" s="11"/>
      <c r="I203" s="11"/>
      <c r="J203" s="13"/>
    </row>
    <row r="204" spans="1:10" x14ac:dyDescent="0.2">
      <c r="A204" s="92"/>
      <c r="B204" s="87"/>
      <c r="C204" s="88"/>
      <c r="D204" s="48"/>
      <c r="E204" s="48"/>
      <c r="F204" s="50"/>
      <c r="G204" s="12"/>
      <c r="H204" s="11"/>
      <c r="I204" s="11"/>
      <c r="J204" s="14"/>
    </row>
    <row r="205" spans="1:10" x14ac:dyDescent="0.2">
      <c r="A205" s="92"/>
      <c r="B205" s="87"/>
      <c r="C205" s="88"/>
      <c r="D205" s="48"/>
      <c r="E205" s="48"/>
      <c r="F205" s="50"/>
      <c r="G205" s="12"/>
      <c r="H205" s="11"/>
      <c r="I205" s="11"/>
      <c r="J205" s="14"/>
    </row>
    <row r="206" spans="1:10" x14ac:dyDescent="0.2">
      <c r="A206" s="92"/>
      <c r="B206" s="87" t="s">
        <v>11</v>
      </c>
      <c r="C206" s="88">
        <f>C202+1</f>
        <v>44250</v>
      </c>
      <c r="D206" s="48"/>
      <c r="E206" s="48"/>
      <c r="F206" s="50"/>
      <c r="G206" s="12"/>
      <c r="H206" s="11"/>
      <c r="I206" s="11"/>
      <c r="J206" s="15"/>
    </row>
    <row r="207" spans="1:10" x14ac:dyDescent="0.2">
      <c r="A207" s="92"/>
      <c r="B207" s="87"/>
      <c r="C207" s="88"/>
      <c r="D207" s="48"/>
      <c r="E207" s="12"/>
      <c r="F207" s="50"/>
      <c r="G207" s="12"/>
      <c r="H207" s="11"/>
      <c r="I207" s="11"/>
      <c r="J207" s="14"/>
    </row>
    <row r="208" spans="1:10" x14ac:dyDescent="0.2">
      <c r="A208" s="92"/>
      <c r="B208" s="87"/>
      <c r="C208" s="88"/>
      <c r="D208" s="12"/>
      <c r="E208" s="12"/>
      <c r="F208" s="11"/>
      <c r="G208" s="12"/>
      <c r="H208" s="11"/>
      <c r="I208" s="11"/>
      <c r="J208" s="14"/>
    </row>
    <row r="209" spans="1:10" x14ac:dyDescent="0.2">
      <c r="A209" s="92"/>
      <c r="B209" s="87"/>
      <c r="C209" s="88"/>
      <c r="D209" s="12"/>
      <c r="E209" s="48"/>
      <c r="F209" s="11"/>
      <c r="G209" s="12"/>
      <c r="H209" s="11"/>
      <c r="I209" s="11"/>
      <c r="J209" s="14"/>
    </row>
    <row r="210" spans="1:10" x14ac:dyDescent="0.2">
      <c r="A210" s="92"/>
      <c r="B210" s="87" t="s">
        <v>12</v>
      </c>
      <c r="C210" s="88">
        <f t="shared" ref="C210" si="32">C206+1</f>
        <v>44251</v>
      </c>
      <c r="D210" s="48"/>
      <c r="E210" s="12"/>
      <c r="F210" s="11"/>
      <c r="G210" s="12"/>
      <c r="H210" s="11"/>
      <c r="I210" s="11"/>
      <c r="J210" s="15"/>
    </row>
    <row r="211" spans="1:10" x14ac:dyDescent="0.2">
      <c r="A211" s="92"/>
      <c r="B211" s="87"/>
      <c r="C211" s="88"/>
      <c r="D211" s="12"/>
      <c r="E211" s="12"/>
      <c r="F211" s="11"/>
      <c r="G211" s="12"/>
      <c r="H211" s="11"/>
      <c r="I211" s="11"/>
      <c r="J211" s="15"/>
    </row>
    <row r="212" spans="1:10" x14ac:dyDescent="0.2">
      <c r="A212" s="92"/>
      <c r="B212" s="87"/>
      <c r="C212" s="88"/>
      <c r="D212" s="12"/>
      <c r="E212" s="12"/>
      <c r="F212" s="11"/>
      <c r="G212" s="12"/>
      <c r="H212" s="11"/>
      <c r="I212" s="11"/>
      <c r="J212" s="14"/>
    </row>
    <row r="213" spans="1:10" x14ac:dyDescent="0.2">
      <c r="A213" s="92"/>
      <c r="B213" s="87"/>
      <c r="C213" s="88"/>
      <c r="D213" s="12"/>
      <c r="E213" s="48"/>
      <c r="F213" s="11"/>
      <c r="G213" s="12"/>
      <c r="H213" s="11"/>
      <c r="I213" s="11"/>
      <c r="J213" s="14"/>
    </row>
    <row r="214" spans="1:10" x14ac:dyDescent="0.2">
      <c r="A214" s="92"/>
      <c r="B214" s="87" t="s">
        <v>13</v>
      </c>
      <c r="C214" s="88">
        <f t="shared" ref="C214" si="33">C210+1</f>
        <v>44252</v>
      </c>
      <c r="D214" s="48"/>
      <c r="E214" s="12"/>
      <c r="F214" s="11"/>
      <c r="G214" s="12"/>
      <c r="H214" s="11"/>
      <c r="I214" s="11"/>
      <c r="J214" s="14"/>
    </row>
    <row r="215" spans="1:10" x14ac:dyDescent="0.2">
      <c r="A215" s="92"/>
      <c r="B215" s="87"/>
      <c r="C215" s="88"/>
      <c r="D215" s="12"/>
      <c r="E215" s="12"/>
      <c r="F215" s="11"/>
      <c r="G215" s="12"/>
      <c r="H215" s="3"/>
      <c r="I215" s="11"/>
      <c r="J215" s="15"/>
    </row>
    <row r="216" spans="1:10" x14ac:dyDescent="0.2">
      <c r="A216" s="92"/>
      <c r="B216" s="87"/>
      <c r="C216" s="88"/>
      <c r="D216" s="12"/>
      <c r="E216" s="12"/>
      <c r="F216" s="11"/>
      <c r="G216" s="12"/>
      <c r="H216" s="11"/>
      <c r="I216" s="11"/>
      <c r="J216" s="14"/>
    </row>
    <row r="217" spans="1:10" x14ac:dyDescent="0.2">
      <c r="A217" s="92"/>
      <c r="B217" s="87"/>
      <c r="C217" s="88"/>
      <c r="D217" s="12"/>
      <c r="E217" s="12"/>
      <c r="F217" s="11"/>
      <c r="G217" s="12"/>
      <c r="H217" s="11"/>
      <c r="I217" s="11"/>
      <c r="J217" s="14"/>
    </row>
    <row r="218" spans="1:10" x14ac:dyDescent="0.2">
      <c r="A218" s="92"/>
      <c r="B218" s="87" t="s">
        <v>14</v>
      </c>
      <c r="C218" s="88">
        <f t="shared" ref="C218" si="34">C214+1</f>
        <v>44253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2"/>
      <c r="B219" s="87"/>
      <c r="C219" s="88"/>
      <c r="D219" s="12"/>
      <c r="E219" s="12"/>
      <c r="F219" s="11"/>
      <c r="G219" s="12"/>
      <c r="H219" s="11"/>
      <c r="I219" s="11"/>
      <c r="J219" s="14"/>
    </row>
    <row r="220" spans="1:10" x14ac:dyDescent="0.2">
      <c r="A220" s="92"/>
      <c r="B220" s="87"/>
      <c r="C220" s="88"/>
      <c r="D220" s="12"/>
      <c r="E220" s="12"/>
      <c r="F220" s="11"/>
      <c r="G220" s="12"/>
      <c r="H220" s="11"/>
      <c r="I220" s="11"/>
      <c r="J220" s="14"/>
    </row>
    <row r="221" spans="1:10" x14ac:dyDescent="0.2">
      <c r="A221" s="92"/>
      <c r="B221" s="87"/>
      <c r="C221" s="88"/>
      <c r="D221" s="12"/>
      <c r="E221" s="48"/>
      <c r="F221" s="11"/>
      <c r="G221" s="12"/>
      <c r="H221" s="11"/>
      <c r="I221" s="11"/>
      <c r="J221" s="14"/>
    </row>
    <row r="222" spans="1:10" x14ac:dyDescent="0.2">
      <c r="A222" s="92"/>
      <c r="B222" s="87" t="s">
        <v>27</v>
      </c>
      <c r="C222" s="88">
        <f t="shared" ref="C222" si="35">C218+1</f>
        <v>44254</v>
      </c>
      <c r="D222" s="48"/>
      <c r="E222" s="12"/>
      <c r="F222" s="11"/>
      <c r="G222" s="12"/>
      <c r="H222" s="11"/>
      <c r="I222" s="11"/>
      <c r="J222" s="14"/>
    </row>
    <row r="223" spans="1:10" x14ac:dyDescent="0.2">
      <c r="A223" s="92"/>
      <c r="B223" s="87"/>
      <c r="C223" s="88"/>
      <c r="D223" s="12"/>
      <c r="E223" s="12"/>
      <c r="F223" s="11"/>
      <c r="G223" s="12"/>
      <c r="H223" s="11"/>
      <c r="I223" s="11"/>
      <c r="J223" s="14"/>
    </row>
    <row r="224" spans="1:10" x14ac:dyDescent="0.2">
      <c r="A224" s="92"/>
      <c r="B224" s="87"/>
      <c r="C224" s="88"/>
      <c r="D224" s="12"/>
      <c r="E224" s="12"/>
      <c r="F224" s="11"/>
      <c r="G224" s="12"/>
      <c r="H224" s="11"/>
      <c r="I224" s="11"/>
      <c r="J224" s="14"/>
    </row>
    <row r="225" spans="1:10" x14ac:dyDescent="0.2">
      <c r="A225" s="92"/>
      <c r="B225" s="87"/>
      <c r="C225" s="88"/>
      <c r="D225" s="12"/>
      <c r="F225" s="11"/>
      <c r="G225" s="12"/>
      <c r="H225" s="11"/>
      <c r="I225" s="11"/>
      <c r="J225" s="14"/>
    </row>
    <row r="226" spans="1:10" ht="15.75" thickBot="1" x14ac:dyDescent="0.3">
      <c r="A226" s="89"/>
      <c r="B226" s="85"/>
      <c r="C226" s="90"/>
      <c r="D226" s="59"/>
      <c r="E226" s="59"/>
      <c r="F226" s="16"/>
      <c r="G226" s="59"/>
      <c r="H226" s="16"/>
      <c r="I226" s="16"/>
      <c r="J226" s="17" t="str">
        <f>"Wochenstunden: "&amp; SUM($G202:$G225)</f>
        <v>Wochenstunden: 0</v>
      </c>
    </row>
    <row r="227" spans="1:10" x14ac:dyDescent="0.2">
      <c r="A227" s="91">
        <f>WEEKNUM($C227,2)</f>
        <v>10</v>
      </c>
      <c r="B227" s="86" t="s">
        <v>10</v>
      </c>
      <c r="C227" s="93">
        <f>C222+2</f>
        <v>44256</v>
      </c>
      <c r="D227" s="47"/>
      <c r="E227" s="48"/>
      <c r="F227" s="49"/>
      <c r="G227" s="9"/>
      <c r="H227" s="8"/>
      <c r="I227" s="8"/>
      <c r="J227" s="10"/>
    </row>
    <row r="228" spans="1:10" x14ac:dyDescent="0.2">
      <c r="A228" s="92"/>
      <c r="B228" s="87"/>
      <c r="C228" s="88"/>
      <c r="D228" s="48"/>
      <c r="E228" s="48"/>
      <c r="F228" s="50"/>
      <c r="G228" s="12"/>
      <c r="H228" s="11"/>
      <c r="I228" s="11"/>
      <c r="J228" s="13"/>
    </row>
    <row r="229" spans="1:10" x14ac:dyDescent="0.2">
      <c r="A229" s="92"/>
      <c r="B229" s="87"/>
      <c r="C229" s="88"/>
      <c r="D229" s="48"/>
      <c r="E229" s="48"/>
      <c r="F229" s="50"/>
      <c r="G229" s="12"/>
      <c r="H229" s="11"/>
      <c r="I229" s="11"/>
      <c r="J229" s="14"/>
    </row>
    <row r="230" spans="1:10" x14ac:dyDescent="0.2">
      <c r="A230" s="92"/>
      <c r="B230" s="87"/>
      <c r="C230" s="88"/>
      <c r="D230" s="48"/>
      <c r="E230" s="48"/>
      <c r="F230" s="50"/>
      <c r="G230" s="12"/>
      <c r="H230" s="11"/>
      <c r="I230" s="11"/>
      <c r="J230" s="14"/>
    </row>
    <row r="231" spans="1:10" x14ac:dyDescent="0.2">
      <c r="A231" s="92"/>
      <c r="B231" s="87" t="s">
        <v>11</v>
      </c>
      <c r="C231" s="88">
        <f>C227+1</f>
        <v>44257</v>
      </c>
      <c r="D231" s="48"/>
      <c r="E231" s="48"/>
      <c r="F231" s="50"/>
      <c r="G231" s="12"/>
      <c r="H231" s="11"/>
      <c r="I231" s="11"/>
      <c r="J231" s="15"/>
    </row>
    <row r="232" spans="1:10" x14ac:dyDescent="0.2">
      <c r="A232" s="92"/>
      <c r="B232" s="87"/>
      <c r="C232" s="88"/>
      <c r="D232" s="48"/>
      <c r="E232" s="12"/>
      <c r="F232" s="50"/>
      <c r="G232" s="12"/>
      <c r="H232" s="11"/>
      <c r="I232" s="11"/>
      <c r="J232" s="14"/>
    </row>
    <row r="233" spans="1:10" x14ac:dyDescent="0.2">
      <c r="A233" s="92"/>
      <c r="B233" s="87"/>
      <c r="C233" s="88"/>
      <c r="D233" s="12"/>
      <c r="E233" s="12"/>
      <c r="F233" s="11"/>
      <c r="G233" s="12"/>
      <c r="H233" s="11"/>
      <c r="I233" s="11"/>
      <c r="J233" s="14"/>
    </row>
    <row r="234" spans="1:10" x14ac:dyDescent="0.2">
      <c r="A234" s="92"/>
      <c r="B234" s="87"/>
      <c r="C234" s="88"/>
      <c r="D234" s="12"/>
      <c r="E234" s="48"/>
      <c r="F234" s="11"/>
      <c r="G234" s="12"/>
      <c r="H234" s="11"/>
      <c r="I234" s="11"/>
      <c r="J234" s="14"/>
    </row>
    <row r="235" spans="1:10" x14ac:dyDescent="0.2">
      <c r="A235" s="92"/>
      <c r="B235" s="87" t="s">
        <v>12</v>
      </c>
      <c r="C235" s="88">
        <f t="shared" ref="C235" si="36">C231+1</f>
        <v>44258</v>
      </c>
      <c r="D235" s="48"/>
      <c r="E235" s="12"/>
      <c r="F235" s="11"/>
      <c r="G235" s="12"/>
      <c r="H235" s="11"/>
      <c r="I235" s="11"/>
      <c r="J235" s="15"/>
    </row>
    <row r="236" spans="1:10" x14ac:dyDescent="0.2">
      <c r="A236" s="92"/>
      <c r="B236" s="87"/>
      <c r="C236" s="88"/>
      <c r="D236" s="12"/>
      <c r="E236" s="12"/>
      <c r="F236" s="11"/>
      <c r="G236" s="12"/>
      <c r="H236" s="11"/>
      <c r="I236" s="11"/>
      <c r="J236" s="15"/>
    </row>
    <row r="237" spans="1:10" x14ac:dyDescent="0.2">
      <c r="A237" s="92"/>
      <c r="B237" s="87"/>
      <c r="C237" s="88"/>
      <c r="D237" s="12"/>
      <c r="E237" s="12"/>
      <c r="F237" s="11"/>
      <c r="G237" s="12"/>
      <c r="H237" s="11"/>
      <c r="I237" s="11"/>
      <c r="J237" s="14"/>
    </row>
    <row r="238" spans="1:10" x14ac:dyDescent="0.2">
      <c r="A238" s="92"/>
      <c r="B238" s="87"/>
      <c r="C238" s="88"/>
      <c r="D238" s="12"/>
      <c r="E238" s="48"/>
      <c r="F238" s="11"/>
      <c r="G238" s="12"/>
      <c r="H238" s="11"/>
      <c r="I238" s="11"/>
      <c r="J238" s="14"/>
    </row>
    <row r="239" spans="1:10" x14ac:dyDescent="0.2">
      <c r="A239" s="92"/>
      <c r="B239" s="87" t="s">
        <v>13</v>
      </c>
      <c r="C239" s="88">
        <f t="shared" ref="C239" si="37">C235+1</f>
        <v>44259</v>
      </c>
      <c r="D239" s="48"/>
      <c r="E239" s="12"/>
      <c r="F239" s="11"/>
      <c r="G239" s="12"/>
      <c r="H239" s="11"/>
      <c r="I239" s="11"/>
      <c r="J239" s="14"/>
    </row>
    <row r="240" spans="1:10" x14ac:dyDescent="0.2">
      <c r="A240" s="92"/>
      <c r="B240" s="87"/>
      <c r="C240" s="88"/>
      <c r="D240" s="12"/>
      <c r="E240" s="12"/>
      <c r="F240" s="11"/>
      <c r="G240" s="12"/>
      <c r="H240" s="3"/>
      <c r="I240" s="11"/>
      <c r="J240" s="15"/>
    </row>
    <row r="241" spans="1:10" x14ac:dyDescent="0.2">
      <c r="A241" s="92"/>
      <c r="B241" s="87"/>
      <c r="C241" s="88"/>
      <c r="D241" s="12"/>
      <c r="E241" s="12"/>
      <c r="F241" s="11"/>
      <c r="G241" s="12"/>
      <c r="H241" s="11"/>
      <c r="I241" s="11"/>
      <c r="J241" s="14"/>
    </row>
    <row r="242" spans="1:10" x14ac:dyDescent="0.2">
      <c r="A242" s="92"/>
      <c r="B242" s="87"/>
      <c r="C242" s="88"/>
      <c r="D242" s="12"/>
      <c r="E242" s="12"/>
      <c r="F242" s="11"/>
      <c r="G242" s="12"/>
      <c r="H242" s="11"/>
      <c r="I242" s="11"/>
      <c r="J242" s="14"/>
    </row>
    <row r="243" spans="1:10" x14ac:dyDescent="0.2">
      <c r="A243" s="92"/>
      <c r="B243" s="87" t="s">
        <v>14</v>
      </c>
      <c r="C243" s="88">
        <f t="shared" ref="C243" si="38">C239+1</f>
        <v>44260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2"/>
      <c r="B244" s="87"/>
      <c r="C244" s="88"/>
      <c r="D244" s="12"/>
      <c r="E244" s="12"/>
      <c r="F244" s="11"/>
      <c r="G244" s="12"/>
      <c r="H244" s="11"/>
      <c r="I244" s="11"/>
      <c r="J244" s="14"/>
    </row>
    <row r="245" spans="1:10" x14ac:dyDescent="0.2">
      <c r="A245" s="92"/>
      <c r="B245" s="87"/>
      <c r="C245" s="88"/>
      <c r="D245" s="12"/>
      <c r="E245" s="12"/>
      <c r="F245" s="11"/>
      <c r="G245" s="12"/>
      <c r="H245" s="11"/>
      <c r="I245" s="11"/>
      <c r="J245" s="14"/>
    </row>
    <row r="246" spans="1:10" x14ac:dyDescent="0.2">
      <c r="A246" s="92"/>
      <c r="B246" s="87"/>
      <c r="C246" s="88"/>
      <c r="D246" s="12"/>
      <c r="E246" s="48"/>
      <c r="F246" s="11"/>
      <c r="G246" s="12"/>
      <c r="H246" s="11"/>
      <c r="I246" s="11"/>
      <c r="J246" s="14"/>
    </row>
    <row r="247" spans="1:10" x14ac:dyDescent="0.2">
      <c r="A247" s="92"/>
      <c r="B247" s="87" t="s">
        <v>27</v>
      </c>
      <c r="C247" s="88">
        <f t="shared" ref="C247" si="39">C243+1</f>
        <v>44261</v>
      </c>
      <c r="D247" s="48"/>
      <c r="E247" s="12"/>
      <c r="F247" s="11"/>
      <c r="G247" s="12"/>
      <c r="H247" s="11"/>
      <c r="I247" s="11"/>
      <c r="J247" s="14"/>
    </row>
    <row r="248" spans="1:10" x14ac:dyDescent="0.2">
      <c r="A248" s="92"/>
      <c r="B248" s="87"/>
      <c r="C248" s="88"/>
      <c r="D248" s="12"/>
      <c r="E248" s="12"/>
      <c r="F248" s="11"/>
      <c r="G248" s="12"/>
      <c r="H248" s="11"/>
      <c r="I248" s="11"/>
      <c r="J248" s="14"/>
    </row>
    <row r="249" spans="1:10" x14ac:dyDescent="0.2">
      <c r="A249" s="92"/>
      <c r="B249" s="87"/>
      <c r="C249" s="88"/>
      <c r="D249" s="12"/>
      <c r="E249" s="12"/>
      <c r="F249" s="11"/>
      <c r="G249" s="12"/>
      <c r="H249" s="11"/>
      <c r="I249" s="11"/>
      <c r="J249" s="14"/>
    </row>
    <row r="250" spans="1:10" x14ac:dyDescent="0.2">
      <c r="A250" s="92"/>
      <c r="B250" s="87"/>
      <c r="C250" s="88"/>
      <c r="D250" s="12"/>
      <c r="F250" s="11"/>
      <c r="G250" s="12"/>
      <c r="H250" s="11"/>
      <c r="I250" s="11"/>
      <c r="J250" s="14"/>
    </row>
    <row r="251" spans="1:10" ht="15.75" thickBot="1" x14ac:dyDescent="0.3">
      <c r="A251" s="89"/>
      <c r="B251" s="85"/>
      <c r="C251" s="90"/>
      <c r="D251" s="59"/>
      <c r="E251" s="59"/>
      <c r="F251" s="16"/>
      <c r="G251" s="59"/>
      <c r="H251" s="16"/>
      <c r="I251" s="16"/>
      <c r="J251" s="17" t="str">
        <f>"Wochenstunden: "&amp; SUM($G227:$G250)</f>
        <v>Wochenstunden: 0</v>
      </c>
    </row>
    <row r="252" spans="1:10" x14ac:dyDescent="0.2">
      <c r="A252" s="91">
        <f>WEEKNUM($C252,2)</f>
        <v>11</v>
      </c>
      <c r="B252" s="86" t="s">
        <v>10</v>
      </c>
      <c r="C252" s="93">
        <f>C247+2</f>
        <v>44263</v>
      </c>
      <c r="D252" s="47"/>
      <c r="E252" s="48"/>
      <c r="F252" s="49"/>
      <c r="G252" s="9"/>
      <c r="H252" s="8"/>
      <c r="I252" s="8"/>
      <c r="J252" s="10"/>
    </row>
    <row r="253" spans="1:10" x14ac:dyDescent="0.2">
      <c r="A253" s="92"/>
      <c r="B253" s="87"/>
      <c r="C253" s="88"/>
      <c r="D253" s="48"/>
      <c r="E253" s="48"/>
      <c r="F253" s="50"/>
      <c r="G253" s="12"/>
      <c r="H253" s="11"/>
      <c r="I253" s="11"/>
      <c r="J253" s="13"/>
    </row>
    <row r="254" spans="1:10" x14ac:dyDescent="0.2">
      <c r="A254" s="92"/>
      <c r="B254" s="87"/>
      <c r="C254" s="88"/>
      <c r="D254" s="48"/>
      <c r="E254" s="48"/>
      <c r="F254" s="50"/>
      <c r="G254" s="12"/>
      <c r="H254" s="11"/>
      <c r="I254" s="11"/>
      <c r="J254" s="14"/>
    </row>
    <row r="255" spans="1:10" x14ac:dyDescent="0.2">
      <c r="A255" s="92"/>
      <c r="B255" s="87"/>
      <c r="C255" s="88"/>
      <c r="D255" s="48"/>
      <c r="E255" s="48"/>
      <c r="F255" s="50"/>
      <c r="G255" s="12"/>
      <c r="H255" s="11"/>
      <c r="I255" s="11"/>
      <c r="J255" s="14"/>
    </row>
    <row r="256" spans="1:10" x14ac:dyDescent="0.2">
      <c r="A256" s="92"/>
      <c r="B256" s="87" t="s">
        <v>11</v>
      </c>
      <c r="C256" s="88">
        <f>C252+1</f>
        <v>44264</v>
      </c>
      <c r="D256" s="48"/>
      <c r="E256" s="48"/>
      <c r="F256" s="50"/>
      <c r="G256" s="12"/>
      <c r="H256" s="11"/>
      <c r="I256" s="11"/>
      <c r="J256" s="15"/>
    </row>
    <row r="257" spans="1:10" x14ac:dyDescent="0.2">
      <c r="A257" s="92"/>
      <c r="B257" s="87"/>
      <c r="C257" s="88"/>
      <c r="D257" s="48"/>
      <c r="E257" s="12"/>
      <c r="F257" s="50"/>
      <c r="G257" s="12"/>
      <c r="H257" s="11"/>
      <c r="I257" s="11"/>
      <c r="J257" s="14"/>
    </row>
    <row r="258" spans="1:10" x14ac:dyDescent="0.2">
      <c r="A258" s="92"/>
      <c r="B258" s="87"/>
      <c r="C258" s="88"/>
      <c r="D258" s="12"/>
      <c r="E258" s="12"/>
      <c r="F258" s="11"/>
      <c r="G258" s="12"/>
      <c r="H258" s="11"/>
      <c r="I258" s="11"/>
      <c r="J258" s="14"/>
    </row>
    <row r="259" spans="1:10" x14ac:dyDescent="0.2">
      <c r="A259" s="92"/>
      <c r="B259" s="87"/>
      <c r="C259" s="88"/>
      <c r="D259" s="12"/>
      <c r="E259" s="48"/>
      <c r="F259" s="11"/>
      <c r="G259" s="12"/>
      <c r="H259" s="11"/>
      <c r="I259" s="11"/>
      <c r="J259" s="14"/>
    </row>
    <row r="260" spans="1:10" x14ac:dyDescent="0.2">
      <c r="A260" s="92"/>
      <c r="B260" s="87" t="s">
        <v>12</v>
      </c>
      <c r="C260" s="88">
        <f t="shared" ref="C260" si="40">C256+1</f>
        <v>44265</v>
      </c>
      <c r="D260" s="48"/>
      <c r="E260" s="12"/>
      <c r="F260" s="11"/>
      <c r="G260" s="12"/>
      <c r="H260" s="11"/>
      <c r="I260" s="11"/>
      <c r="J260" s="15"/>
    </row>
    <row r="261" spans="1:10" x14ac:dyDescent="0.2">
      <c r="A261" s="92"/>
      <c r="B261" s="87"/>
      <c r="C261" s="88"/>
      <c r="D261" s="12"/>
      <c r="E261" s="12"/>
      <c r="F261" s="11"/>
      <c r="G261" s="12"/>
      <c r="H261" s="11"/>
      <c r="I261" s="11"/>
      <c r="J261" s="15"/>
    </row>
    <row r="262" spans="1:10" x14ac:dyDescent="0.2">
      <c r="A262" s="92"/>
      <c r="B262" s="87"/>
      <c r="C262" s="88"/>
      <c r="D262" s="12"/>
      <c r="E262" s="12"/>
      <c r="F262" s="11"/>
      <c r="G262" s="12"/>
      <c r="H262" s="11"/>
      <c r="I262" s="11"/>
      <c r="J262" s="14"/>
    </row>
    <row r="263" spans="1:10" x14ac:dyDescent="0.2">
      <c r="A263" s="92"/>
      <c r="B263" s="87"/>
      <c r="C263" s="88"/>
      <c r="D263" s="12"/>
      <c r="E263" s="48"/>
      <c r="F263" s="11"/>
      <c r="G263" s="12"/>
      <c r="H263" s="11"/>
      <c r="I263" s="11"/>
      <c r="J263" s="14"/>
    </row>
    <row r="264" spans="1:10" x14ac:dyDescent="0.2">
      <c r="A264" s="92"/>
      <c r="B264" s="87" t="s">
        <v>13</v>
      </c>
      <c r="C264" s="88">
        <f t="shared" ref="C264" si="41">C260+1</f>
        <v>44266</v>
      </c>
      <c r="D264" s="48"/>
      <c r="E264" s="12"/>
      <c r="F264" s="11"/>
      <c r="G264" s="12"/>
      <c r="H264" s="11"/>
      <c r="I264" s="11"/>
      <c r="J264" s="14"/>
    </row>
    <row r="265" spans="1:10" x14ac:dyDescent="0.2">
      <c r="A265" s="92"/>
      <c r="B265" s="87"/>
      <c r="C265" s="88"/>
      <c r="D265" s="12"/>
      <c r="E265" s="12"/>
      <c r="F265" s="11"/>
      <c r="G265" s="12"/>
      <c r="H265" s="3"/>
      <c r="I265" s="11"/>
      <c r="J265" s="15"/>
    </row>
    <row r="266" spans="1:10" x14ac:dyDescent="0.2">
      <c r="A266" s="92"/>
      <c r="B266" s="87"/>
      <c r="C266" s="88"/>
      <c r="D266" s="12"/>
      <c r="E266" s="12"/>
      <c r="F266" s="11"/>
      <c r="G266" s="12"/>
      <c r="H266" s="11"/>
      <c r="I266" s="11"/>
      <c r="J266" s="14"/>
    </row>
    <row r="267" spans="1:10" x14ac:dyDescent="0.2">
      <c r="A267" s="92"/>
      <c r="B267" s="87"/>
      <c r="C267" s="88"/>
      <c r="D267" s="12"/>
      <c r="E267" s="12"/>
      <c r="F267" s="11"/>
      <c r="G267" s="12"/>
      <c r="H267" s="11"/>
      <c r="I267" s="11"/>
      <c r="J267" s="14"/>
    </row>
    <row r="268" spans="1:10" x14ac:dyDescent="0.2">
      <c r="A268" s="92"/>
      <c r="B268" s="87" t="s">
        <v>14</v>
      </c>
      <c r="C268" s="88">
        <f t="shared" ref="C268" si="42">C264+1</f>
        <v>44267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2"/>
      <c r="B269" s="87"/>
      <c r="C269" s="88"/>
      <c r="D269" s="12"/>
      <c r="E269" s="12"/>
      <c r="F269" s="11"/>
      <c r="G269" s="12"/>
      <c r="H269" s="11"/>
      <c r="I269" s="11"/>
      <c r="J269" s="14"/>
    </row>
    <row r="270" spans="1:10" x14ac:dyDescent="0.2">
      <c r="A270" s="92"/>
      <c r="B270" s="87"/>
      <c r="C270" s="88"/>
      <c r="D270" s="12"/>
      <c r="E270" s="12"/>
      <c r="F270" s="11"/>
      <c r="G270" s="12"/>
      <c r="H270" s="11"/>
      <c r="I270" s="11"/>
      <c r="J270" s="14"/>
    </row>
    <row r="271" spans="1:10" x14ac:dyDescent="0.2">
      <c r="A271" s="92"/>
      <c r="B271" s="87"/>
      <c r="C271" s="88"/>
      <c r="D271" s="12"/>
      <c r="E271" s="48"/>
      <c r="F271" s="11"/>
      <c r="G271" s="12"/>
      <c r="H271" s="11"/>
      <c r="I271" s="11"/>
      <c r="J271" s="14"/>
    </row>
    <row r="272" spans="1:10" x14ac:dyDescent="0.2">
      <c r="A272" s="92"/>
      <c r="B272" s="87" t="s">
        <v>27</v>
      </c>
      <c r="C272" s="88">
        <f t="shared" ref="C272" si="43">C268+1</f>
        <v>44268</v>
      </c>
      <c r="D272" s="48"/>
      <c r="E272" s="12"/>
      <c r="F272" s="11"/>
      <c r="G272" s="12"/>
      <c r="H272" s="11"/>
      <c r="I272" s="11"/>
      <c r="J272" s="14"/>
    </row>
    <row r="273" spans="1:10" x14ac:dyDescent="0.2">
      <c r="A273" s="92"/>
      <c r="B273" s="87"/>
      <c r="C273" s="88"/>
      <c r="D273" s="12"/>
      <c r="E273" s="12"/>
      <c r="F273" s="11"/>
      <c r="G273" s="12"/>
      <c r="H273" s="11"/>
      <c r="I273" s="11"/>
      <c r="J273" s="14"/>
    </row>
    <row r="274" spans="1:10" x14ac:dyDescent="0.2">
      <c r="A274" s="92"/>
      <c r="B274" s="87"/>
      <c r="C274" s="88"/>
      <c r="D274" s="12"/>
      <c r="E274" s="12"/>
      <c r="F274" s="11"/>
      <c r="G274" s="12"/>
      <c r="H274" s="11"/>
      <c r="I274" s="11"/>
      <c r="J274" s="14"/>
    </row>
    <row r="275" spans="1:10" x14ac:dyDescent="0.2">
      <c r="A275" s="92"/>
      <c r="B275" s="87"/>
      <c r="C275" s="88"/>
      <c r="D275" s="12"/>
      <c r="F275" s="11"/>
      <c r="G275" s="12"/>
      <c r="H275" s="11"/>
      <c r="I275" s="11"/>
      <c r="J275" s="14"/>
    </row>
    <row r="276" spans="1:10" ht="15.75" thickBot="1" x14ac:dyDescent="0.3">
      <c r="A276" s="89"/>
      <c r="B276" s="85"/>
      <c r="C276" s="90"/>
      <c r="D276" s="59"/>
      <c r="E276" s="59"/>
      <c r="F276" s="16"/>
      <c r="G276" s="59"/>
      <c r="H276" s="16"/>
      <c r="I276" s="16"/>
      <c r="J276" s="17" t="str">
        <f>"Wochenstunden: "&amp; SUM($G252:$G275)</f>
        <v>Wochenstunden: 0</v>
      </c>
    </row>
    <row r="277" spans="1:10" x14ac:dyDescent="0.2">
      <c r="A277" s="91">
        <f>WEEKNUM($C277,2)</f>
        <v>12</v>
      </c>
      <c r="B277" s="86" t="s">
        <v>10</v>
      </c>
      <c r="C277" s="93">
        <f>C272+2</f>
        <v>44270</v>
      </c>
      <c r="D277" s="47"/>
      <c r="E277" s="48"/>
      <c r="F277" s="49"/>
      <c r="G277" s="9"/>
      <c r="H277" s="8"/>
      <c r="I277" s="8"/>
      <c r="J277" s="10"/>
    </row>
    <row r="278" spans="1:10" x14ac:dyDescent="0.2">
      <c r="A278" s="92"/>
      <c r="B278" s="87"/>
      <c r="C278" s="88"/>
      <c r="D278" s="48"/>
      <c r="E278" s="48"/>
      <c r="F278" s="50"/>
      <c r="G278" s="12"/>
      <c r="H278" s="11"/>
      <c r="I278" s="11"/>
      <c r="J278" s="13"/>
    </row>
    <row r="279" spans="1:10" x14ac:dyDescent="0.2">
      <c r="A279" s="92"/>
      <c r="B279" s="87"/>
      <c r="C279" s="88"/>
      <c r="D279" s="48"/>
      <c r="E279" s="48"/>
      <c r="F279" s="50"/>
      <c r="G279" s="12"/>
      <c r="H279" s="11"/>
      <c r="I279" s="11"/>
      <c r="J279" s="14"/>
    </row>
    <row r="280" spans="1:10" x14ac:dyDescent="0.2">
      <c r="A280" s="92"/>
      <c r="B280" s="87"/>
      <c r="C280" s="88"/>
      <c r="D280" s="48"/>
      <c r="E280" s="48"/>
      <c r="F280" s="50"/>
      <c r="G280" s="12"/>
      <c r="H280" s="11"/>
      <c r="I280" s="11"/>
      <c r="J280" s="14"/>
    </row>
    <row r="281" spans="1:10" x14ac:dyDescent="0.2">
      <c r="A281" s="92"/>
      <c r="B281" s="87" t="s">
        <v>11</v>
      </c>
      <c r="C281" s="88">
        <f>C277+1</f>
        <v>44271</v>
      </c>
      <c r="D281" s="48"/>
      <c r="E281" s="48"/>
      <c r="F281" s="50"/>
      <c r="G281" s="12"/>
      <c r="H281" s="11"/>
      <c r="I281" s="11"/>
      <c r="J281" s="15"/>
    </row>
    <row r="282" spans="1:10" x14ac:dyDescent="0.2">
      <c r="A282" s="92"/>
      <c r="B282" s="87"/>
      <c r="C282" s="88"/>
      <c r="D282" s="48"/>
      <c r="E282" s="12"/>
      <c r="F282" s="50"/>
      <c r="G282" s="12"/>
      <c r="H282" s="11"/>
      <c r="I282" s="11"/>
      <c r="J282" s="14"/>
    </row>
    <row r="283" spans="1:10" x14ac:dyDescent="0.2">
      <c r="A283" s="92"/>
      <c r="B283" s="87"/>
      <c r="C283" s="88"/>
      <c r="D283" s="12"/>
      <c r="E283" s="12"/>
      <c r="F283" s="11"/>
      <c r="G283" s="12"/>
      <c r="H283" s="11"/>
      <c r="I283" s="11"/>
      <c r="J283" s="14"/>
    </row>
    <row r="284" spans="1:10" x14ac:dyDescent="0.2">
      <c r="A284" s="92"/>
      <c r="B284" s="87"/>
      <c r="C284" s="88"/>
      <c r="D284" s="12"/>
      <c r="E284" s="48"/>
      <c r="F284" s="11"/>
      <c r="G284" s="12"/>
      <c r="H284" s="11"/>
      <c r="I284" s="11"/>
      <c r="J284" s="14"/>
    </row>
    <row r="285" spans="1:10" x14ac:dyDescent="0.2">
      <c r="A285" s="92"/>
      <c r="B285" s="87" t="s">
        <v>12</v>
      </c>
      <c r="C285" s="88">
        <f t="shared" ref="C285" si="44">C281+1</f>
        <v>44272</v>
      </c>
      <c r="D285" s="48"/>
      <c r="E285" s="12"/>
      <c r="F285" s="11"/>
      <c r="G285" s="12"/>
      <c r="H285" s="11"/>
      <c r="I285" s="11"/>
      <c r="J285" s="15"/>
    </row>
    <row r="286" spans="1:10" x14ac:dyDescent="0.2">
      <c r="A286" s="92"/>
      <c r="B286" s="87"/>
      <c r="C286" s="88"/>
      <c r="D286" s="12"/>
      <c r="E286" s="12"/>
      <c r="F286" s="11"/>
      <c r="G286" s="12"/>
      <c r="H286" s="11"/>
      <c r="I286" s="11"/>
      <c r="J286" s="15"/>
    </row>
    <row r="287" spans="1:10" x14ac:dyDescent="0.2">
      <c r="A287" s="92"/>
      <c r="B287" s="87"/>
      <c r="C287" s="88"/>
      <c r="D287" s="12"/>
      <c r="E287" s="12"/>
      <c r="F287" s="11"/>
      <c r="G287" s="12"/>
      <c r="H287" s="11"/>
      <c r="I287" s="11"/>
      <c r="J287" s="14"/>
    </row>
    <row r="288" spans="1:10" x14ac:dyDescent="0.2">
      <c r="A288" s="92"/>
      <c r="B288" s="87"/>
      <c r="C288" s="88"/>
      <c r="D288" s="12"/>
      <c r="E288" s="48"/>
      <c r="F288" s="11"/>
      <c r="G288" s="12"/>
      <c r="H288" s="11"/>
      <c r="I288" s="11"/>
      <c r="J288" s="14"/>
    </row>
    <row r="289" spans="1:10" x14ac:dyDescent="0.2">
      <c r="A289" s="92"/>
      <c r="B289" s="87" t="s">
        <v>13</v>
      </c>
      <c r="C289" s="88">
        <f t="shared" ref="C289" si="45">C285+1</f>
        <v>44273</v>
      </c>
      <c r="D289" s="48"/>
      <c r="E289" s="12"/>
      <c r="F289" s="11"/>
      <c r="G289" s="12"/>
      <c r="H289" s="11"/>
      <c r="I289" s="11"/>
      <c r="J289" s="14"/>
    </row>
    <row r="290" spans="1:10" x14ac:dyDescent="0.2">
      <c r="A290" s="92"/>
      <c r="B290" s="87"/>
      <c r="C290" s="88"/>
      <c r="D290" s="12"/>
      <c r="E290" s="12"/>
      <c r="F290" s="11"/>
      <c r="G290" s="12"/>
      <c r="H290" s="3"/>
      <c r="I290" s="11"/>
      <c r="J290" s="15"/>
    </row>
    <row r="291" spans="1:10" x14ac:dyDescent="0.2">
      <c r="A291" s="92"/>
      <c r="B291" s="87"/>
      <c r="C291" s="88"/>
      <c r="D291" s="12"/>
      <c r="E291" s="12"/>
      <c r="F291" s="11"/>
      <c r="G291" s="12"/>
      <c r="H291" s="11"/>
      <c r="I291" s="11"/>
      <c r="J291" s="14"/>
    </row>
    <row r="292" spans="1:10" x14ac:dyDescent="0.2">
      <c r="A292" s="92"/>
      <c r="B292" s="87"/>
      <c r="C292" s="88"/>
      <c r="D292" s="12"/>
      <c r="E292" s="12"/>
      <c r="F292" s="11"/>
      <c r="G292" s="12"/>
      <c r="H292" s="11"/>
      <c r="I292" s="11"/>
      <c r="J292" s="14"/>
    </row>
    <row r="293" spans="1:10" x14ac:dyDescent="0.2">
      <c r="A293" s="92"/>
      <c r="B293" s="87" t="s">
        <v>14</v>
      </c>
      <c r="C293" s="88">
        <f t="shared" ref="C293" si="46">C289+1</f>
        <v>44274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2"/>
      <c r="B294" s="87"/>
      <c r="C294" s="88"/>
      <c r="D294" s="12"/>
      <c r="E294" s="12"/>
      <c r="F294" s="11"/>
      <c r="G294" s="12"/>
      <c r="H294" s="11"/>
      <c r="I294" s="11"/>
      <c r="J294" s="14"/>
    </row>
    <row r="295" spans="1:10" x14ac:dyDescent="0.2">
      <c r="A295" s="92"/>
      <c r="B295" s="87"/>
      <c r="C295" s="88"/>
      <c r="D295" s="12"/>
      <c r="E295" s="12"/>
      <c r="F295" s="11"/>
      <c r="G295" s="12"/>
      <c r="H295" s="11"/>
      <c r="I295" s="11"/>
      <c r="J295" s="14"/>
    </row>
    <row r="296" spans="1:10" x14ac:dyDescent="0.2">
      <c r="A296" s="92"/>
      <c r="B296" s="87"/>
      <c r="C296" s="88"/>
      <c r="D296" s="12"/>
      <c r="E296" s="48"/>
      <c r="F296" s="11"/>
      <c r="G296" s="12"/>
      <c r="H296" s="11"/>
      <c r="I296" s="11"/>
      <c r="J296" s="14"/>
    </row>
    <row r="297" spans="1:10" x14ac:dyDescent="0.2">
      <c r="A297" s="92"/>
      <c r="B297" s="87" t="s">
        <v>27</v>
      </c>
      <c r="C297" s="88">
        <f t="shared" ref="C297" si="47">C293+1</f>
        <v>44275</v>
      </c>
      <c r="D297" s="48"/>
      <c r="E297" s="12"/>
      <c r="F297" s="11"/>
      <c r="G297" s="12"/>
      <c r="H297" s="11"/>
      <c r="I297" s="11"/>
      <c r="J297" s="14"/>
    </row>
    <row r="298" spans="1:10" x14ac:dyDescent="0.2">
      <c r="A298" s="92"/>
      <c r="B298" s="87"/>
      <c r="C298" s="88"/>
      <c r="D298" s="12"/>
      <c r="E298" s="12"/>
      <c r="F298" s="11"/>
      <c r="G298" s="12"/>
      <c r="H298" s="11"/>
      <c r="I298" s="11"/>
      <c r="J298" s="14"/>
    </row>
    <row r="299" spans="1:10" x14ac:dyDescent="0.2">
      <c r="A299" s="92"/>
      <c r="B299" s="87"/>
      <c r="C299" s="88"/>
      <c r="D299" s="12"/>
      <c r="E299" s="12"/>
      <c r="F299" s="11"/>
      <c r="G299" s="12"/>
      <c r="H299" s="11"/>
      <c r="I299" s="11"/>
      <c r="J299" s="14"/>
    </row>
    <row r="300" spans="1:10" x14ac:dyDescent="0.2">
      <c r="A300" s="92"/>
      <c r="B300" s="87"/>
      <c r="C300" s="88"/>
      <c r="D300" s="12"/>
      <c r="F300" s="11"/>
      <c r="G300" s="12"/>
      <c r="H300" s="11"/>
      <c r="I300" s="11"/>
      <c r="J300" s="14"/>
    </row>
    <row r="301" spans="1:10" ht="15.75" thickBot="1" x14ac:dyDescent="0.3">
      <c r="A301" s="89"/>
      <c r="B301" s="85"/>
      <c r="C301" s="90"/>
      <c r="D301" s="59"/>
      <c r="E301" s="59"/>
      <c r="F301" s="16"/>
      <c r="G301" s="59"/>
      <c r="H301" s="16"/>
      <c r="I301" s="16"/>
      <c r="J301" s="17" t="str">
        <f>"Wochenstunden: "&amp; SUM($G277:$G300)</f>
        <v>Wochenstunden: 0</v>
      </c>
    </row>
    <row r="302" spans="1:10" x14ac:dyDescent="0.2">
      <c r="A302" s="91">
        <f>WEEKNUM($C302,2)</f>
        <v>13</v>
      </c>
      <c r="B302" s="86" t="s">
        <v>10</v>
      </c>
      <c r="C302" s="93">
        <f>C297+2</f>
        <v>44277</v>
      </c>
      <c r="D302" s="47"/>
      <c r="E302" s="48"/>
      <c r="F302" s="49"/>
      <c r="G302" s="9"/>
      <c r="H302" s="8"/>
      <c r="I302" s="8"/>
      <c r="J302" s="10"/>
    </row>
    <row r="303" spans="1:10" x14ac:dyDescent="0.2">
      <c r="A303" s="92"/>
      <c r="B303" s="87"/>
      <c r="C303" s="88"/>
      <c r="D303" s="48"/>
      <c r="E303" s="48"/>
      <c r="F303" s="50"/>
      <c r="G303" s="12"/>
      <c r="H303" s="11"/>
      <c r="I303" s="11"/>
      <c r="J303" s="13"/>
    </row>
    <row r="304" spans="1:10" x14ac:dyDescent="0.2">
      <c r="A304" s="92"/>
      <c r="B304" s="87"/>
      <c r="C304" s="88"/>
      <c r="D304" s="48"/>
      <c r="E304" s="48"/>
      <c r="F304" s="50"/>
      <c r="G304" s="12"/>
      <c r="H304" s="11"/>
      <c r="I304" s="11"/>
      <c r="J304" s="14"/>
    </row>
    <row r="305" spans="1:10" x14ac:dyDescent="0.2">
      <c r="A305" s="92"/>
      <c r="B305" s="87"/>
      <c r="C305" s="88"/>
      <c r="D305" s="48"/>
      <c r="E305" s="48"/>
      <c r="F305" s="50"/>
      <c r="G305" s="12"/>
      <c r="H305" s="11"/>
      <c r="I305" s="11"/>
      <c r="J305" s="14"/>
    </row>
    <row r="306" spans="1:10" x14ac:dyDescent="0.2">
      <c r="A306" s="92"/>
      <c r="B306" s="87" t="s">
        <v>11</v>
      </c>
      <c r="C306" s="88">
        <f>C302+1</f>
        <v>44278</v>
      </c>
      <c r="D306" s="48"/>
      <c r="E306" s="48"/>
      <c r="F306" s="50"/>
      <c r="G306" s="12"/>
      <c r="H306" s="11"/>
      <c r="I306" s="11"/>
      <c r="J306" s="15"/>
    </row>
    <row r="307" spans="1:10" x14ac:dyDescent="0.2">
      <c r="A307" s="92"/>
      <c r="B307" s="87"/>
      <c r="C307" s="88"/>
      <c r="D307" s="48"/>
      <c r="E307" s="12"/>
      <c r="F307" s="50"/>
      <c r="G307" s="12"/>
      <c r="H307" s="11"/>
      <c r="I307" s="11"/>
      <c r="J307" s="14"/>
    </row>
    <row r="308" spans="1:10" x14ac:dyDescent="0.2">
      <c r="A308" s="92"/>
      <c r="B308" s="87"/>
      <c r="C308" s="88"/>
      <c r="D308" s="12"/>
      <c r="E308" s="12"/>
      <c r="F308" s="11"/>
      <c r="G308" s="12"/>
      <c r="H308" s="11"/>
      <c r="I308" s="11"/>
      <c r="J308" s="14"/>
    </row>
    <row r="309" spans="1:10" x14ac:dyDescent="0.2">
      <c r="A309" s="92"/>
      <c r="B309" s="87"/>
      <c r="C309" s="88"/>
      <c r="D309" s="12"/>
      <c r="E309" s="48"/>
      <c r="F309" s="11"/>
      <c r="G309" s="12"/>
      <c r="H309" s="11"/>
      <c r="I309" s="11"/>
      <c r="J309" s="14"/>
    </row>
    <row r="310" spans="1:10" x14ac:dyDescent="0.2">
      <c r="A310" s="92"/>
      <c r="B310" s="87" t="s">
        <v>12</v>
      </c>
      <c r="C310" s="88">
        <f t="shared" ref="C310" si="48">C306+1</f>
        <v>44279</v>
      </c>
      <c r="D310" s="48"/>
      <c r="E310" s="12"/>
      <c r="F310" s="11"/>
      <c r="G310" s="12"/>
      <c r="H310" s="11"/>
      <c r="I310" s="11"/>
      <c r="J310" s="15"/>
    </row>
    <row r="311" spans="1:10" x14ac:dyDescent="0.2">
      <c r="A311" s="92"/>
      <c r="B311" s="87"/>
      <c r="C311" s="88"/>
      <c r="D311" s="12"/>
      <c r="E311" s="12"/>
      <c r="F311" s="11"/>
      <c r="G311" s="12"/>
      <c r="H311" s="11"/>
      <c r="I311" s="11"/>
      <c r="J311" s="15"/>
    </row>
    <row r="312" spans="1:10" x14ac:dyDescent="0.2">
      <c r="A312" s="92"/>
      <c r="B312" s="87"/>
      <c r="C312" s="88"/>
      <c r="D312" s="12"/>
      <c r="E312" s="12"/>
      <c r="F312" s="11"/>
      <c r="G312" s="12"/>
      <c r="H312" s="11"/>
      <c r="I312" s="11"/>
      <c r="J312" s="14"/>
    </row>
    <row r="313" spans="1:10" x14ac:dyDescent="0.2">
      <c r="A313" s="92"/>
      <c r="B313" s="87"/>
      <c r="C313" s="88"/>
      <c r="D313" s="12"/>
      <c r="E313" s="48"/>
      <c r="F313" s="11"/>
      <c r="G313" s="12"/>
      <c r="H313" s="11"/>
      <c r="I313" s="11"/>
      <c r="J313" s="14"/>
    </row>
    <row r="314" spans="1:10" x14ac:dyDescent="0.2">
      <c r="A314" s="92"/>
      <c r="B314" s="87" t="s">
        <v>13</v>
      </c>
      <c r="C314" s="88">
        <f t="shared" ref="C314" si="49">C310+1</f>
        <v>44280</v>
      </c>
      <c r="D314" s="48"/>
      <c r="E314" s="12"/>
      <c r="F314" s="11"/>
      <c r="G314" s="12"/>
      <c r="H314" s="11"/>
      <c r="I314" s="11"/>
      <c r="J314" s="14"/>
    </row>
    <row r="315" spans="1:10" x14ac:dyDescent="0.2">
      <c r="A315" s="92"/>
      <c r="B315" s="87"/>
      <c r="C315" s="88"/>
      <c r="D315" s="12"/>
      <c r="E315" s="12"/>
      <c r="F315" s="11"/>
      <c r="G315" s="12"/>
      <c r="H315" s="3"/>
      <c r="I315" s="11"/>
      <c r="J315" s="15"/>
    </row>
    <row r="316" spans="1:10" x14ac:dyDescent="0.2">
      <c r="A316" s="92"/>
      <c r="B316" s="87"/>
      <c r="C316" s="88"/>
      <c r="D316" s="12"/>
      <c r="E316" s="12"/>
      <c r="F316" s="11"/>
      <c r="G316" s="12"/>
      <c r="H316" s="11"/>
      <c r="I316" s="11"/>
      <c r="J316" s="14"/>
    </row>
    <row r="317" spans="1:10" x14ac:dyDescent="0.2">
      <c r="A317" s="92"/>
      <c r="B317" s="87"/>
      <c r="C317" s="88"/>
      <c r="D317" s="12"/>
      <c r="E317" s="12"/>
      <c r="F317" s="11"/>
      <c r="G317" s="12"/>
      <c r="H317" s="11"/>
      <c r="I317" s="11"/>
      <c r="J317" s="14"/>
    </row>
    <row r="318" spans="1:10" x14ac:dyDescent="0.2">
      <c r="A318" s="92"/>
      <c r="B318" s="87" t="s">
        <v>14</v>
      </c>
      <c r="C318" s="88">
        <f t="shared" ref="C318" si="50">C314+1</f>
        <v>44281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2"/>
      <c r="B319" s="87"/>
      <c r="C319" s="88"/>
      <c r="D319" s="12"/>
      <c r="E319" s="12"/>
      <c r="F319" s="11"/>
      <c r="G319" s="12"/>
      <c r="H319" s="11"/>
      <c r="I319" s="11"/>
      <c r="J319" s="14"/>
    </row>
    <row r="320" spans="1:10" x14ac:dyDescent="0.2">
      <c r="A320" s="92"/>
      <c r="B320" s="87"/>
      <c r="C320" s="88"/>
      <c r="D320" s="12"/>
      <c r="E320" s="12"/>
      <c r="F320" s="11"/>
      <c r="G320" s="12"/>
      <c r="H320" s="11"/>
      <c r="I320" s="11"/>
      <c r="J320" s="14"/>
    </row>
    <row r="321" spans="1:10" x14ac:dyDescent="0.2">
      <c r="A321" s="92"/>
      <c r="B321" s="87"/>
      <c r="C321" s="88"/>
      <c r="D321" s="12"/>
      <c r="E321" s="48"/>
      <c r="F321" s="11"/>
      <c r="G321" s="12"/>
      <c r="H321" s="11"/>
      <c r="I321" s="11"/>
      <c r="J321" s="14"/>
    </row>
    <row r="322" spans="1:10" x14ac:dyDescent="0.2">
      <c r="A322" s="92"/>
      <c r="B322" s="87" t="s">
        <v>27</v>
      </c>
      <c r="C322" s="88">
        <f t="shared" ref="C322" si="51">C318+1</f>
        <v>44282</v>
      </c>
      <c r="D322" s="48"/>
      <c r="E322" s="12"/>
      <c r="F322" s="11"/>
      <c r="G322" s="12"/>
      <c r="H322" s="11"/>
      <c r="I322" s="11"/>
      <c r="J322" s="14"/>
    </row>
    <row r="323" spans="1:10" x14ac:dyDescent="0.2">
      <c r="A323" s="92"/>
      <c r="B323" s="87"/>
      <c r="C323" s="88"/>
      <c r="D323" s="12"/>
      <c r="E323" s="12"/>
      <c r="F323" s="11"/>
      <c r="G323" s="12"/>
      <c r="H323" s="11"/>
      <c r="I323" s="11"/>
      <c r="J323" s="14"/>
    </row>
    <row r="324" spans="1:10" x14ac:dyDescent="0.2">
      <c r="A324" s="92"/>
      <c r="B324" s="87"/>
      <c r="C324" s="88"/>
      <c r="D324" s="12"/>
      <c r="E324" s="12"/>
      <c r="F324" s="11"/>
      <c r="G324" s="12"/>
      <c r="H324" s="11"/>
      <c r="I324" s="11"/>
      <c r="J324" s="14"/>
    </row>
    <row r="325" spans="1:10" x14ac:dyDescent="0.2">
      <c r="A325" s="92"/>
      <c r="B325" s="87"/>
      <c r="C325" s="88"/>
      <c r="D325" s="12"/>
      <c r="F325" s="11"/>
      <c r="G325" s="12"/>
      <c r="H325" s="11"/>
      <c r="I325" s="11"/>
      <c r="J325" s="14"/>
    </row>
    <row r="326" spans="1:10" ht="15.75" thickBot="1" x14ac:dyDescent="0.3">
      <c r="A326" s="89"/>
      <c r="B326" s="85"/>
      <c r="C326" s="90"/>
      <c r="D326" s="59"/>
      <c r="E326" s="59"/>
      <c r="F326" s="16"/>
      <c r="G326" s="59"/>
      <c r="H326" s="16"/>
      <c r="I326" s="16"/>
      <c r="J326" s="17" t="str">
        <f>"Wochenstunden: "&amp; SUM($G302:$G325)</f>
        <v>Wochenstunden: 0</v>
      </c>
    </row>
    <row r="327" spans="1:10" x14ac:dyDescent="0.2">
      <c r="A327" s="91">
        <f>WEEKNUM($C327,2)</f>
        <v>14</v>
      </c>
      <c r="B327" s="86" t="s">
        <v>10</v>
      </c>
      <c r="C327" s="93">
        <f>C322+2</f>
        <v>44284</v>
      </c>
      <c r="D327" s="47"/>
      <c r="E327" s="48"/>
      <c r="F327" s="49"/>
      <c r="G327" s="9"/>
      <c r="H327" s="8"/>
      <c r="I327" s="8"/>
      <c r="J327" s="10"/>
    </row>
    <row r="328" spans="1:10" x14ac:dyDescent="0.2">
      <c r="A328" s="92"/>
      <c r="B328" s="87"/>
      <c r="C328" s="88"/>
      <c r="D328" s="48"/>
      <c r="E328" s="48"/>
      <c r="F328" s="50"/>
      <c r="G328" s="12"/>
      <c r="H328" s="11"/>
      <c r="I328" s="11"/>
      <c r="J328" s="13"/>
    </row>
    <row r="329" spans="1:10" x14ac:dyDescent="0.2">
      <c r="A329" s="92"/>
      <c r="B329" s="87"/>
      <c r="C329" s="88"/>
      <c r="D329" s="48"/>
      <c r="E329" s="48"/>
      <c r="F329" s="50"/>
      <c r="G329" s="12"/>
      <c r="H329" s="11"/>
      <c r="I329" s="11"/>
      <c r="J329" s="14"/>
    </row>
    <row r="330" spans="1:10" x14ac:dyDescent="0.2">
      <c r="A330" s="92"/>
      <c r="B330" s="87"/>
      <c r="C330" s="88"/>
      <c r="D330" s="48"/>
      <c r="E330" s="48"/>
      <c r="F330" s="50"/>
      <c r="G330" s="12"/>
      <c r="H330" s="11"/>
      <c r="I330" s="11"/>
      <c r="J330" s="14"/>
    </row>
    <row r="331" spans="1:10" x14ac:dyDescent="0.2">
      <c r="A331" s="92"/>
      <c r="B331" s="87" t="s">
        <v>11</v>
      </c>
      <c r="C331" s="88">
        <f>C327+1</f>
        <v>44285</v>
      </c>
      <c r="D331" s="48"/>
      <c r="E331" s="48"/>
      <c r="F331" s="50"/>
      <c r="G331" s="12"/>
      <c r="H331" s="11"/>
      <c r="I331" s="11"/>
      <c r="J331" s="15"/>
    </row>
    <row r="332" spans="1:10" x14ac:dyDescent="0.2">
      <c r="A332" s="92"/>
      <c r="B332" s="87"/>
      <c r="C332" s="88"/>
      <c r="D332" s="48"/>
      <c r="E332" s="12"/>
      <c r="F332" s="50"/>
      <c r="G332" s="12"/>
      <c r="H332" s="11"/>
      <c r="I332" s="11"/>
      <c r="J332" s="14"/>
    </row>
    <row r="333" spans="1:10" x14ac:dyDescent="0.2">
      <c r="A333" s="92"/>
      <c r="B333" s="87"/>
      <c r="C333" s="88"/>
      <c r="D333" s="12"/>
      <c r="E333" s="12"/>
      <c r="F333" s="11"/>
      <c r="G333" s="12"/>
      <c r="H333" s="11"/>
      <c r="I333" s="11"/>
      <c r="J333" s="14"/>
    </row>
    <row r="334" spans="1:10" x14ac:dyDescent="0.2">
      <c r="A334" s="92"/>
      <c r="B334" s="87"/>
      <c r="C334" s="88"/>
      <c r="D334" s="12"/>
      <c r="E334" s="48"/>
      <c r="F334" s="11"/>
      <c r="G334" s="12"/>
      <c r="H334" s="11"/>
      <c r="I334" s="11"/>
      <c r="J334" s="14"/>
    </row>
    <row r="335" spans="1:10" x14ac:dyDescent="0.2">
      <c r="A335" s="92"/>
      <c r="B335" s="87" t="s">
        <v>12</v>
      </c>
      <c r="C335" s="88">
        <f t="shared" ref="C335" si="52">C331+1</f>
        <v>44286</v>
      </c>
      <c r="D335" s="48"/>
      <c r="E335" s="12"/>
      <c r="F335" s="11"/>
      <c r="G335" s="12"/>
      <c r="H335" s="11"/>
      <c r="I335" s="11"/>
      <c r="J335" s="15"/>
    </row>
    <row r="336" spans="1:10" x14ac:dyDescent="0.2">
      <c r="A336" s="92"/>
      <c r="B336" s="87"/>
      <c r="C336" s="88"/>
      <c r="D336" s="12"/>
      <c r="E336" s="12"/>
      <c r="F336" s="11"/>
      <c r="G336" s="12"/>
      <c r="H336" s="11"/>
      <c r="I336" s="11"/>
      <c r="J336" s="15"/>
    </row>
    <row r="337" spans="1:10" x14ac:dyDescent="0.2">
      <c r="A337" s="92"/>
      <c r="B337" s="87"/>
      <c r="C337" s="88"/>
      <c r="D337" s="12"/>
      <c r="E337" s="12"/>
      <c r="F337" s="11"/>
      <c r="G337" s="12"/>
      <c r="H337" s="11"/>
      <c r="I337" s="11"/>
      <c r="J337" s="14"/>
    </row>
    <row r="338" spans="1:10" x14ac:dyDescent="0.2">
      <c r="A338" s="92"/>
      <c r="B338" s="87"/>
      <c r="C338" s="88"/>
      <c r="D338" s="12"/>
      <c r="E338" s="48"/>
      <c r="F338" s="11"/>
      <c r="G338" s="12"/>
      <c r="H338" s="11"/>
      <c r="I338" s="11"/>
      <c r="J338" s="14"/>
    </row>
    <row r="339" spans="1:10" x14ac:dyDescent="0.2">
      <c r="A339" s="92"/>
      <c r="B339" s="87" t="s">
        <v>13</v>
      </c>
      <c r="C339" s="88">
        <f t="shared" ref="C339" si="53">C335+1</f>
        <v>44287</v>
      </c>
      <c r="D339" s="48"/>
      <c r="E339" s="12"/>
      <c r="F339" s="11"/>
      <c r="G339" s="12"/>
      <c r="H339" s="11"/>
      <c r="I339" s="11"/>
      <c r="J339" s="14"/>
    </row>
    <row r="340" spans="1:10" x14ac:dyDescent="0.2">
      <c r="A340" s="92"/>
      <c r="B340" s="87"/>
      <c r="C340" s="88"/>
      <c r="D340" s="12"/>
      <c r="E340" s="12"/>
      <c r="F340" s="11"/>
      <c r="G340" s="12"/>
      <c r="H340" s="3"/>
      <c r="I340" s="11"/>
      <c r="J340" s="15"/>
    </row>
    <row r="341" spans="1:10" x14ac:dyDescent="0.2">
      <c r="A341" s="92"/>
      <c r="B341" s="87"/>
      <c r="C341" s="88"/>
      <c r="D341" s="12"/>
      <c r="E341" s="12"/>
      <c r="F341" s="11"/>
      <c r="G341" s="12"/>
      <c r="H341" s="11"/>
      <c r="I341" s="11"/>
      <c r="J341" s="14"/>
    </row>
    <row r="342" spans="1:10" x14ac:dyDescent="0.2">
      <c r="A342" s="92"/>
      <c r="B342" s="87"/>
      <c r="C342" s="88"/>
      <c r="D342" s="12"/>
      <c r="E342" s="12"/>
      <c r="F342" s="11"/>
      <c r="G342" s="12"/>
      <c r="H342" s="11"/>
      <c r="I342" s="11"/>
      <c r="J342" s="14"/>
    </row>
    <row r="343" spans="1:10" x14ac:dyDescent="0.2">
      <c r="A343" s="92"/>
      <c r="B343" s="87" t="s">
        <v>14</v>
      </c>
      <c r="C343" s="88">
        <f t="shared" ref="C343" si="54">C339+1</f>
        <v>44288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2"/>
      <c r="B344" s="87"/>
      <c r="C344" s="88"/>
      <c r="D344" s="12"/>
      <c r="E344" s="12"/>
      <c r="F344" s="11"/>
      <c r="G344" s="12"/>
      <c r="H344" s="11"/>
      <c r="I344" s="11"/>
      <c r="J344" s="14"/>
    </row>
    <row r="345" spans="1:10" x14ac:dyDescent="0.2">
      <c r="A345" s="92"/>
      <c r="B345" s="87"/>
      <c r="C345" s="88"/>
      <c r="D345" s="12"/>
      <c r="E345" s="12"/>
      <c r="F345" s="11"/>
      <c r="G345" s="12"/>
      <c r="H345" s="11"/>
      <c r="I345" s="11"/>
      <c r="J345" s="14"/>
    </row>
    <row r="346" spans="1:10" x14ac:dyDescent="0.2">
      <c r="A346" s="92"/>
      <c r="B346" s="87"/>
      <c r="C346" s="88"/>
      <c r="D346" s="12"/>
      <c r="E346" s="48"/>
      <c r="F346" s="11"/>
      <c r="G346" s="12"/>
      <c r="H346" s="11"/>
      <c r="I346" s="11"/>
      <c r="J346" s="14"/>
    </row>
    <row r="347" spans="1:10" x14ac:dyDescent="0.2">
      <c r="A347" s="92"/>
      <c r="B347" s="87" t="s">
        <v>27</v>
      </c>
      <c r="C347" s="88">
        <f t="shared" ref="C347" si="55">C343+1</f>
        <v>44289</v>
      </c>
      <c r="D347" s="48"/>
      <c r="E347" s="12"/>
      <c r="F347" s="11"/>
      <c r="G347" s="12"/>
      <c r="H347" s="11"/>
      <c r="I347" s="11"/>
      <c r="J347" s="14"/>
    </row>
    <row r="348" spans="1:10" x14ac:dyDescent="0.2">
      <c r="A348" s="92"/>
      <c r="B348" s="87"/>
      <c r="C348" s="88"/>
      <c r="D348" s="12"/>
      <c r="E348" s="12"/>
      <c r="F348" s="11"/>
      <c r="G348" s="12"/>
      <c r="H348" s="11"/>
      <c r="I348" s="11"/>
      <c r="J348" s="14"/>
    </row>
    <row r="349" spans="1:10" x14ac:dyDescent="0.2">
      <c r="A349" s="92"/>
      <c r="B349" s="87"/>
      <c r="C349" s="88"/>
      <c r="D349" s="12"/>
      <c r="E349" s="12"/>
      <c r="F349" s="11"/>
      <c r="G349" s="12"/>
      <c r="H349" s="11"/>
      <c r="I349" s="11"/>
      <c r="J349" s="14"/>
    </row>
    <row r="350" spans="1:10" x14ac:dyDescent="0.2">
      <c r="A350" s="92"/>
      <c r="B350" s="87"/>
      <c r="C350" s="88"/>
      <c r="D350" s="12"/>
      <c r="F350" s="11"/>
      <c r="G350" s="12"/>
      <c r="H350" s="11"/>
      <c r="I350" s="11"/>
      <c r="J350" s="14"/>
    </row>
    <row r="351" spans="1:10" ht="15.75" thickBot="1" x14ac:dyDescent="0.3">
      <c r="A351" s="89"/>
      <c r="B351" s="85"/>
      <c r="C351" s="90"/>
      <c r="D351" s="59"/>
      <c r="E351" s="59"/>
      <c r="F351" s="16"/>
      <c r="G351" s="59"/>
      <c r="H351" s="16"/>
      <c r="I351" s="16"/>
      <c r="J351" s="17" t="str">
        <f>"Wochenstunden: "&amp; SUM($G327:$G350)</f>
        <v>Wochenstunden: 0</v>
      </c>
    </row>
    <row r="352" spans="1:10" x14ac:dyDescent="0.2">
      <c r="A352" s="91">
        <f>WEEKNUM($C352,2)</f>
        <v>15</v>
      </c>
      <c r="B352" s="86" t="s">
        <v>10</v>
      </c>
      <c r="C352" s="93">
        <f>C347+2</f>
        <v>44291</v>
      </c>
      <c r="D352" s="47"/>
      <c r="E352" s="48"/>
      <c r="F352" s="49"/>
      <c r="G352" s="9"/>
      <c r="H352" s="8"/>
      <c r="I352" s="8"/>
      <c r="J352" s="10"/>
    </row>
    <row r="353" spans="1:10" x14ac:dyDescent="0.2">
      <c r="A353" s="92"/>
      <c r="B353" s="87"/>
      <c r="C353" s="88"/>
      <c r="D353" s="48"/>
      <c r="E353" s="48"/>
      <c r="F353" s="50"/>
      <c r="G353" s="12"/>
      <c r="H353" s="11"/>
      <c r="I353" s="11"/>
      <c r="J353" s="13"/>
    </row>
    <row r="354" spans="1:10" x14ac:dyDescent="0.2">
      <c r="A354" s="92"/>
      <c r="B354" s="87"/>
      <c r="C354" s="88"/>
      <c r="D354" s="48"/>
      <c r="E354" s="48"/>
      <c r="F354" s="50"/>
      <c r="G354" s="12"/>
      <c r="H354" s="11"/>
      <c r="I354" s="11"/>
      <c r="J354" s="14"/>
    </row>
    <row r="355" spans="1:10" x14ac:dyDescent="0.2">
      <c r="A355" s="92"/>
      <c r="B355" s="87"/>
      <c r="C355" s="88"/>
      <c r="D355" s="48"/>
      <c r="E355" s="48"/>
      <c r="F355" s="50"/>
      <c r="G355" s="12"/>
      <c r="H355" s="11"/>
      <c r="I355" s="11"/>
      <c r="J355" s="14"/>
    </row>
    <row r="356" spans="1:10" x14ac:dyDescent="0.2">
      <c r="A356" s="92"/>
      <c r="B356" s="87" t="s">
        <v>11</v>
      </c>
      <c r="C356" s="88">
        <f>C352+1</f>
        <v>44292</v>
      </c>
      <c r="D356" s="48"/>
      <c r="E356" s="48"/>
      <c r="F356" s="50"/>
      <c r="G356" s="12"/>
      <c r="H356" s="11"/>
      <c r="I356" s="11"/>
      <c r="J356" s="15"/>
    </row>
    <row r="357" spans="1:10" x14ac:dyDescent="0.2">
      <c r="A357" s="92"/>
      <c r="B357" s="87"/>
      <c r="C357" s="88"/>
      <c r="D357" s="48"/>
      <c r="E357" s="12"/>
      <c r="F357" s="50"/>
      <c r="G357" s="12"/>
      <c r="H357" s="11"/>
      <c r="I357" s="11"/>
      <c r="J357" s="14"/>
    </row>
    <row r="358" spans="1:10" x14ac:dyDescent="0.2">
      <c r="A358" s="92"/>
      <c r="B358" s="87"/>
      <c r="C358" s="88"/>
      <c r="D358" s="12"/>
      <c r="E358" s="12"/>
      <c r="F358" s="11"/>
      <c r="G358" s="12"/>
      <c r="H358" s="11"/>
      <c r="I358" s="11"/>
      <c r="J358" s="14"/>
    </row>
    <row r="359" spans="1:10" x14ac:dyDescent="0.2">
      <c r="A359" s="92"/>
      <c r="B359" s="87"/>
      <c r="C359" s="88"/>
      <c r="D359" s="12"/>
      <c r="E359" s="48"/>
      <c r="F359" s="11"/>
      <c r="G359" s="12"/>
      <c r="H359" s="11"/>
      <c r="I359" s="11"/>
      <c r="J359" s="14"/>
    </row>
    <row r="360" spans="1:10" x14ac:dyDescent="0.2">
      <c r="A360" s="92"/>
      <c r="B360" s="87" t="s">
        <v>12</v>
      </c>
      <c r="C360" s="88">
        <f t="shared" ref="C360" si="56">C356+1</f>
        <v>44293</v>
      </c>
      <c r="D360" s="48"/>
      <c r="E360" s="12"/>
      <c r="F360" s="11"/>
      <c r="G360" s="12"/>
      <c r="H360" s="11"/>
      <c r="I360" s="11"/>
      <c r="J360" s="15"/>
    </row>
    <row r="361" spans="1:10" x14ac:dyDescent="0.2">
      <c r="A361" s="92"/>
      <c r="B361" s="87"/>
      <c r="C361" s="88"/>
      <c r="D361" s="12"/>
      <c r="E361" s="12"/>
      <c r="F361" s="11"/>
      <c r="G361" s="12"/>
      <c r="H361" s="11"/>
      <c r="I361" s="11"/>
      <c r="J361" s="15"/>
    </row>
    <row r="362" spans="1:10" x14ac:dyDescent="0.2">
      <c r="A362" s="92"/>
      <c r="B362" s="87"/>
      <c r="C362" s="88"/>
      <c r="D362" s="12"/>
      <c r="E362" s="12"/>
      <c r="F362" s="11"/>
      <c r="G362" s="12"/>
      <c r="H362" s="11"/>
      <c r="I362" s="11"/>
      <c r="J362" s="14"/>
    </row>
    <row r="363" spans="1:10" x14ac:dyDescent="0.2">
      <c r="A363" s="92"/>
      <c r="B363" s="87"/>
      <c r="C363" s="88"/>
      <c r="D363" s="12"/>
      <c r="E363" s="48"/>
      <c r="F363" s="11"/>
      <c r="G363" s="12"/>
      <c r="H363" s="11"/>
      <c r="I363" s="11"/>
      <c r="J363" s="14"/>
    </row>
    <row r="364" spans="1:10" x14ac:dyDescent="0.2">
      <c r="A364" s="92"/>
      <c r="B364" s="87" t="s">
        <v>13</v>
      </c>
      <c r="C364" s="88">
        <f t="shared" ref="C364" si="57">C360+1</f>
        <v>44294</v>
      </c>
      <c r="D364" s="48"/>
      <c r="E364" s="12"/>
      <c r="F364" s="11"/>
      <c r="G364" s="12"/>
      <c r="H364" s="11"/>
      <c r="I364" s="11"/>
      <c r="J364" s="14"/>
    </row>
    <row r="365" spans="1:10" x14ac:dyDescent="0.2">
      <c r="A365" s="92"/>
      <c r="B365" s="87"/>
      <c r="C365" s="88"/>
      <c r="D365" s="12"/>
      <c r="E365" s="12"/>
      <c r="F365" s="11"/>
      <c r="G365" s="12"/>
      <c r="H365" s="3"/>
      <c r="I365" s="11"/>
      <c r="J365" s="15"/>
    </row>
    <row r="366" spans="1:10" x14ac:dyDescent="0.2">
      <c r="A366" s="92"/>
      <c r="B366" s="87"/>
      <c r="C366" s="88"/>
      <c r="D366" s="12"/>
      <c r="E366" s="12"/>
      <c r="F366" s="11"/>
      <c r="G366" s="12"/>
      <c r="H366" s="11"/>
      <c r="I366" s="11"/>
      <c r="J366" s="14"/>
    </row>
    <row r="367" spans="1:10" x14ac:dyDescent="0.2">
      <c r="A367" s="92"/>
      <c r="B367" s="87"/>
      <c r="C367" s="88"/>
      <c r="D367" s="12"/>
      <c r="E367" s="12"/>
      <c r="F367" s="11"/>
      <c r="G367" s="12"/>
      <c r="H367" s="11"/>
      <c r="I367" s="11"/>
      <c r="J367" s="14"/>
    </row>
    <row r="368" spans="1:10" x14ac:dyDescent="0.2">
      <c r="A368" s="92"/>
      <c r="B368" s="87" t="s">
        <v>14</v>
      </c>
      <c r="C368" s="88">
        <f t="shared" ref="C368" si="58">C364+1</f>
        <v>44295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2"/>
      <c r="B369" s="87"/>
      <c r="C369" s="88"/>
      <c r="D369" s="12"/>
      <c r="E369" s="12"/>
      <c r="F369" s="11"/>
      <c r="G369" s="12"/>
      <c r="H369" s="11"/>
      <c r="I369" s="11"/>
      <c r="J369" s="14"/>
    </row>
    <row r="370" spans="1:10" x14ac:dyDescent="0.2">
      <c r="A370" s="92"/>
      <c r="B370" s="87"/>
      <c r="C370" s="88"/>
      <c r="D370" s="12"/>
      <c r="E370" s="12"/>
      <c r="F370" s="11"/>
      <c r="G370" s="12"/>
      <c r="H370" s="11"/>
      <c r="I370" s="11"/>
      <c r="J370" s="14"/>
    </row>
    <row r="371" spans="1:10" x14ac:dyDescent="0.2">
      <c r="A371" s="92"/>
      <c r="B371" s="87"/>
      <c r="C371" s="88"/>
      <c r="D371" s="12"/>
      <c r="E371" s="48"/>
      <c r="F371" s="11"/>
      <c r="G371" s="12"/>
      <c r="H371" s="11"/>
      <c r="I371" s="11"/>
      <c r="J371" s="14"/>
    </row>
    <row r="372" spans="1:10" x14ac:dyDescent="0.2">
      <c r="A372" s="92"/>
      <c r="B372" s="87" t="s">
        <v>27</v>
      </c>
      <c r="C372" s="88">
        <f t="shared" ref="C372" si="59">C368+1</f>
        <v>44296</v>
      </c>
      <c r="D372" s="48"/>
      <c r="E372" s="12"/>
      <c r="F372" s="11"/>
      <c r="G372" s="12"/>
      <c r="H372" s="11"/>
      <c r="I372" s="11"/>
      <c r="J372" s="14"/>
    </row>
    <row r="373" spans="1:10" x14ac:dyDescent="0.2">
      <c r="A373" s="92"/>
      <c r="B373" s="87"/>
      <c r="C373" s="88"/>
      <c r="D373" s="12"/>
      <c r="E373" s="12"/>
      <c r="F373" s="11"/>
      <c r="G373" s="12"/>
      <c r="H373" s="11"/>
      <c r="I373" s="11"/>
      <c r="J373" s="14"/>
    </row>
    <row r="374" spans="1:10" x14ac:dyDescent="0.2">
      <c r="A374" s="92"/>
      <c r="B374" s="87"/>
      <c r="C374" s="88"/>
      <c r="D374" s="12"/>
      <c r="E374" s="12"/>
      <c r="F374" s="11"/>
      <c r="G374" s="12"/>
      <c r="H374" s="11"/>
      <c r="I374" s="11"/>
      <c r="J374" s="14"/>
    </row>
    <row r="375" spans="1:10" x14ac:dyDescent="0.2">
      <c r="A375" s="92"/>
      <c r="B375" s="87"/>
      <c r="C375" s="88"/>
      <c r="D375" s="12"/>
      <c r="F375" s="11"/>
      <c r="G375" s="12"/>
      <c r="H375" s="11"/>
      <c r="I375" s="11"/>
      <c r="J375" s="14"/>
    </row>
    <row r="376" spans="1:10" ht="15.75" thickBot="1" x14ac:dyDescent="0.3">
      <c r="A376" s="89"/>
      <c r="B376" s="85"/>
      <c r="C376" s="90"/>
      <c r="D376" s="59"/>
      <c r="E376" s="59"/>
      <c r="F376" s="16"/>
      <c r="G376" s="59"/>
      <c r="H376" s="16"/>
      <c r="I376" s="16"/>
      <c r="J376" s="17" t="str">
        <f>"Wochenstunden: "&amp; SUM($G352:$G375)</f>
        <v>Wochenstunden: 0</v>
      </c>
    </row>
  </sheetData>
  <mergeCells count="210"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68:B371"/>
    <mergeCell ref="C368:C371"/>
    <mergeCell ref="B372:B375"/>
    <mergeCell ref="C372:C37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39:B342"/>
    <mergeCell ref="C339:C342"/>
    <mergeCell ref="B343:B346"/>
    <mergeCell ref="C343:C346"/>
    <mergeCell ref="B347:B350"/>
    <mergeCell ref="C347:C350"/>
    <mergeCell ref="A301:C301"/>
    <mergeCell ref="A302:A325"/>
    <mergeCell ref="B302:B305"/>
    <mergeCell ref="C302:C305"/>
    <mergeCell ref="B306:B309"/>
    <mergeCell ref="C306:C309"/>
    <mergeCell ref="B310:B313"/>
    <mergeCell ref="C310:C313"/>
    <mergeCell ref="B314:B317"/>
    <mergeCell ref="C314:C317"/>
    <mergeCell ref="B318:B321"/>
    <mergeCell ref="C318:C321"/>
    <mergeCell ref="B322:B325"/>
    <mergeCell ref="C322:C325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93:B296"/>
    <mergeCell ref="C293:C296"/>
    <mergeCell ref="B297:B300"/>
    <mergeCell ref="C297:C30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64:B267"/>
    <mergeCell ref="C264:C267"/>
    <mergeCell ref="B268:B271"/>
    <mergeCell ref="C268:C271"/>
    <mergeCell ref="B272:B275"/>
    <mergeCell ref="C272:C275"/>
    <mergeCell ref="A226:C226"/>
    <mergeCell ref="A227:A250"/>
    <mergeCell ref="B227:B230"/>
    <mergeCell ref="C227:C230"/>
    <mergeCell ref="B231:B234"/>
    <mergeCell ref="C231:C234"/>
    <mergeCell ref="B235:B238"/>
    <mergeCell ref="C235:C238"/>
    <mergeCell ref="B239:B242"/>
    <mergeCell ref="C239:C242"/>
    <mergeCell ref="B243:B246"/>
    <mergeCell ref="C243:C246"/>
    <mergeCell ref="B247:B250"/>
    <mergeCell ref="C247:C250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18:B221"/>
    <mergeCell ref="C218:C221"/>
    <mergeCell ref="B222:B225"/>
    <mergeCell ref="C222:C22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89:B192"/>
    <mergeCell ref="C189:C192"/>
    <mergeCell ref="B193:B196"/>
    <mergeCell ref="C193:C196"/>
    <mergeCell ref="B197:B200"/>
    <mergeCell ref="C197:C200"/>
    <mergeCell ref="A151:C151"/>
    <mergeCell ref="A152:A175"/>
    <mergeCell ref="B152:B155"/>
    <mergeCell ref="C152:C155"/>
    <mergeCell ref="B156:B159"/>
    <mergeCell ref="C156:C159"/>
    <mergeCell ref="B160:B163"/>
    <mergeCell ref="C160:C163"/>
    <mergeCell ref="B164:B167"/>
    <mergeCell ref="C164:C167"/>
    <mergeCell ref="B168:B171"/>
    <mergeCell ref="C168:C171"/>
    <mergeCell ref="B172:B175"/>
    <mergeCell ref="C172:C175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43:B146"/>
    <mergeCell ref="C143:C146"/>
    <mergeCell ref="B147:B150"/>
    <mergeCell ref="C147:C15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114:B117"/>
    <mergeCell ref="C114:C117"/>
    <mergeCell ref="B118:B121"/>
    <mergeCell ref="C118:C121"/>
    <mergeCell ref="B122:B125"/>
    <mergeCell ref="C122:C125"/>
    <mergeCell ref="A77:A100"/>
    <mergeCell ref="B77:B80"/>
    <mergeCell ref="C77:C80"/>
    <mergeCell ref="B81:B84"/>
    <mergeCell ref="C81:C84"/>
    <mergeCell ref="B85:B88"/>
    <mergeCell ref="C85:C88"/>
    <mergeCell ref="B89:B92"/>
    <mergeCell ref="C89:C92"/>
    <mergeCell ref="B93:B96"/>
    <mergeCell ref="C93:C96"/>
    <mergeCell ref="B97:B100"/>
    <mergeCell ref="C97:C100"/>
    <mergeCell ref="A76:C76"/>
    <mergeCell ref="C22:C25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22:B25"/>
    <mergeCell ref="C18:C21"/>
    <mergeCell ref="B18:B21"/>
    <mergeCell ref="A26:C26"/>
    <mergeCell ref="B52:B55"/>
    <mergeCell ref="B43:B46"/>
    <mergeCell ref="B35:B38"/>
    <mergeCell ref="B39:B42"/>
    <mergeCell ref="C31:C34"/>
    <mergeCell ref="C35:C38"/>
    <mergeCell ref="C39:C42"/>
    <mergeCell ref="A27:A50"/>
    <mergeCell ref="C27:C30"/>
    <mergeCell ref="B27:B30"/>
    <mergeCell ref="B31:B34"/>
    <mergeCell ref="B68:B71"/>
    <mergeCell ref="C68:C71"/>
    <mergeCell ref="C43:C46"/>
    <mergeCell ref="B60:B63"/>
    <mergeCell ref="C60:C63"/>
    <mergeCell ref="B64:B67"/>
    <mergeCell ref="C64:C67"/>
    <mergeCell ref="B47:B50"/>
    <mergeCell ref="C47:C50"/>
    <mergeCell ref="A51:C51"/>
    <mergeCell ref="A52:A75"/>
    <mergeCell ref="B72:B75"/>
    <mergeCell ref="C72:C75"/>
    <mergeCell ref="C52:C55"/>
    <mergeCell ref="B56:B59"/>
    <mergeCell ref="C56:C59"/>
  </mergeCells>
  <dataValidations count="13">
    <dataValidation type="list" allowBlank="1" sqref="F328:F351 F53:F76 F28:F30 F42:F51 F362:F376 F11 F14 F20:F26 F303:F326 F35:F40 F78:F101 F103:F126 F128:F151 F153:F176 F178:F201 F203:F226 F228:F251 F253:F276 F278:F301 F353:F360 F8:F9" xr:uid="{00000000-0002-0000-0200-000000000000}">
      <formula1>Aufgaben</formula1>
    </dataValidation>
    <dataValidation type="list" allowBlank="1" showInputMessage="1" showErrorMessage="1" sqref="F33 F27 F52 F77 F102 F127 F152 F177 F202 F227 F252 F277 F302 F327 F352" xr:uid="{00000000-0002-0000-0200-000001000000}">
      <formula1>Aufgaben</formula1>
    </dataValidation>
    <dataValidation type="list" allowBlank="1" showInputMessage="1" showErrorMessage="1" sqref="F31:F32" xr:uid="{00000000-0002-0000-0200-000002000000}">
      <formula1>Projekt_1</formula1>
    </dataValidation>
    <dataValidation type="list" allowBlank="1" showInputMessage="1" showErrorMessage="1" sqref="F16" xr:uid="{00000000-0002-0000-0200-000003000000}">
      <formula1>"Layout, , Layout, , Projektplanung, Projektbezeichnung autom., , "</formula1>
    </dataValidation>
    <dataValidation type="list" allowBlank="1" showInputMessage="1" showErrorMessage="1" sqref="F13" xr:uid="{00000000-0002-0000-0200-000004000000}">
      <formula1>"Layout, Listen ( Müll, Feiertage), , Layout, , Layout, , ToDo, , Projektbezeichnung autom., , "</formula1>
    </dataValidation>
    <dataValidation type="list" allowBlank="1" showInputMessage="1" showErrorMessage="1" sqref="F12 F6" xr:uid="{00000000-0002-0000-0200-000005000000}">
      <formula1>"Front; saugen, , Heck; wischen, , "</formula1>
    </dataValidation>
    <dataValidation type="list" allowBlank="1" showInputMessage="1" showErrorMessage="1" sqref="F18 F10" xr:uid="{00000000-0002-0000-02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41" xr:uid="{00000000-0002-0000-0200-000007000000}">
      <formula1>"M1; Aufgabe1, M1; Aufgabe2, M2; Aufgabe3, "</formula1>
    </dataValidation>
    <dataValidation type="list" allowBlank="1" showInputMessage="1" showErrorMessage="1" sqref="F19 F361" xr:uid="{00000000-0002-0000-0200-000008000000}">
      <formula1>"Front; saugen, Heck; wischen, "</formula1>
    </dataValidation>
    <dataValidation type="list" allowBlank="1" showInputMessage="1" showErrorMessage="1" sqref="F17 F34" xr:uid="{00000000-0002-0000-0200-000009000000}">
      <formula1>"M1; Aufg1, M1; Aufg2, M2; Aufg3, "</formula1>
    </dataValidation>
    <dataValidation type="list" allowBlank="1" showInputMessage="1" showErrorMessage="1" sqref="F2 F15" xr:uid="{00000000-0002-0000-0200-00000B000000}">
      <formula1>"milestone 1; task 1, milestone 2; task 5, "</formula1>
    </dataValidation>
    <dataValidation type="list" allowBlank="1" showInputMessage="1" showErrorMessage="1" sqref="F7" xr:uid="{00000000-0002-0000-0200-00000C000000}">
      <formula1>"Milestone 3; task  2, Milestone 3; task 3, Milestone 4; task 4, "</formula1>
    </dataValidation>
    <dataValidation type="list" allowBlank="1" showInputMessage="1" showErrorMessage="1" sqref="D2:D376" xr:uid="{491FBA22-9351-471A-BA54-1BD100FACCAA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76"/>
  <sheetViews>
    <sheetView zoomScale="85" zoomScaleNormal="85" workbookViewId="0">
      <pane ySplit="1" topLeftCell="A2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57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1">
        <f>WEEKNUM($C2,2)</f>
        <v>53</v>
      </c>
      <c r="B2" s="86" t="s">
        <v>10</v>
      </c>
      <c r="C2" s="93">
        <v>44557</v>
      </c>
      <c r="D2" s="47"/>
      <c r="E2" s="47"/>
      <c r="F2" s="49"/>
      <c r="G2" s="9"/>
      <c r="H2" s="8"/>
      <c r="I2" s="8"/>
      <c r="J2" s="10"/>
    </row>
    <row r="3" spans="1:10" x14ac:dyDescent="0.2">
      <c r="A3" s="92"/>
      <c r="B3" s="87"/>
      <c r="C3" s="88"/>
      <c r="D3" s="48"/>
      <c r="E3" s="48"/>
      <c r="F3" s="50"/>
      <c r="G3" s="12"/>
      <c r="H3" s="11"/>
      <c r="I3" s="11"/>
      <c r="J3" s="13"/>
    </row>
    <row r="4" spans="1:10" x14ac:dyDescent="0.2">
      <c r="A4" s="92"/>
      <c r="B4" s="87"/>
      <c r="C4" s="88"/>
      <c r="D4" s="48"/>
      <c r="E4" s="48"/>
      <c r="F4" s="50"/>
      <c r="G4" s="12"/>
      <c r="H4" s="11"/>
      <c r="I4" s="11"/>
      <c r="J4" s="14"/>
    </row>
    <row r="5" spans="1:10" x14ac:dyDescent="0.2">
      <c r="A5" s="92"/>
      <c r="B5" s="87"/>
      <c r="C5" s="88"/>
      <c r="D5" s="48"/>
      <c r="E5" s="48"/>
      <c r="F5" s="50"/>
      <c r="G5" s="12"/>
      <c r="H5" s="11"/>
      <c r="I5" s="11"/>
      <c r="J5" s="14"/>
    </row>
    <row r="6" spans="1:10" x14ac:dyDescent="0.2">
      <c r="A6" s="92"/>
      <c r="B6" s="87" t="s">
        <v>11</v>
      </c>
      <c r="C6" s="88">
        <f>C2+1</f>
        <v>44558</v>
      </c>
      <c r="D6" s="48" t="s">
        <v>36</v>
      </c>
      <c r="E6" s="48" t="s">
        <v>38</v>
      </c>
      <c r="F6" s="56" t="s">
        <v>37</v>
      </c>
      <c r="G6" s="12">
        <v>5</v>
      </c>
      <c r="H6" s="11" t="s">
        <v>43</v>
      </c>
      <c r="I6" s="11"/>
      <c r="J6" s="15"/>
    </row>
    <row r="7" spans="1:10" x14ac:dyDescent="0.2">
      <c r="A7" s="92"/>
      <c r="B7" s="87"/>
      <c r="C7" s="88"/>
      <c r="D7" s="48"/>
      <c r="E7" s="48"/>
      <c r="F7" s="50"/>
      <c r="G7" s="12"/>
      <c r="H7" s="11"/>
      <c r="I7" s="11"/>
      <c r="J7" s="14"/>
    </row>
    <row r="8" spans="1:10" x14ac:dyDescent="0.2">
      <c r="A8" s="92"/>
      <c r="B8" s="87"/>
      <c r="C8" s="88"/>
      <c r="D8" s="12"/>
      <c r="E8" s="12"/>
      <c r="F8" s="11"/>
      <c r="G8" s="12"/>
      <c r="H8" s="11"/>
      <c r="I8" s="11"/>
      <c r="J8" s="14"/>
    </row>
    <row r="9" spans="1:10" x14ac:dyDescent="0.2">
      <c r="A9" s="92"/>
      <c r="B9" s="87"/>
      <c r="C9" s="88"/>
      <c r="D9" s="12"/>
      <c r="E9" s="12"/>
      <c r="F9" s="11"/>
      <c r="G9" s="12"/>
      <c r="H9" s="11"/>
      <c r="I9" s="11"/>
      <c r="J9" s="14"/>
    </row>
    <row r="10" spans="1:10" x14ac:dyDescent="0.2">
      <c r="A10" s="92"/>
      <c r="B10" s="87" t="s">
        <v>12</v>
      </c>
      <c r="C10" s="88">
        <f t="shared" ref="C10" si="0">C6+1</f>
        <v>44559</v>
      </c>
      <c r="D10" s="48"/>
      <c r="E10" s="48"/>
      <c r="F10" s="11"/>
      <c r="G10" s="12"/>
      <c r="H10" s="11"/>
      <c r="I10" s="11"/>
      <c r="J10" s="15"/>
    </row>
    <row r="11" spans="1:10" x14ac:dyDescent="0.2">
      <c r="A11" s="92"/>
      <c r="B11" s="87"/>
      <c r="C11" s="88"/>
      <c r="D11" s="12"/>
      <c r="E11" s="12"/>
      <c r="F11" s="11"/>
      <c r="G11" s="12"/>
      <c r="H11" s="11"/>
      <c r="I11" s="11"/>
      <c r="J11" s="15"/>
    </row>
    <row r="12" spans="1:10" x14ac:dyDescent="0.2">
      <c r="A12" s="92"/>
      <c r="B12" s="87"/>
      <c r="C12" s="88"/>
      <c r="D12" s="12"/>
      <c r="E12" s="12"/>
      <c r="F12" s="11"/>
      <c r="G12" s="12"/>
      <c r="H12" s="11"/>
      <c r="I12" s="11"/>
      <c r="J12" s="14"/>
    </row>
    <row r="13" spans="1:10" x14ac:dyDescent="0.2">
      <c r="A13" s="92"/>
      <c r="B13" s="87"/>
      <c r="C13" s="88"/>
      <c r="D13" s="12"/>
      <c r="E13" s="12"/>
      <c r="F13" s="11"/>
      <c r="G13" s="12"/>
      <c r="H13" s="11"/>
      <c r="I13" s="11"/>
      <c r="J13" s="14"/>
    </row>
    <row r="14" spans="1:10" x14ac:dyDescent="0.2">
      <c r="A14" s="92"/>
      <c r="B14" s="87" t="s">
        <v>13</v>
      </c>
      <c r="C14" s="88">
        <f t="shared" ref="C14" si="1">C10+1</f>
        <v>44560</v>
      </c>
      <c r="D14" s="48"/>
      <c r="E14" s="48"/>
      <c r="F14" s="11"/>
      <c r="G14" s="12"/>
      <c r="H14" s="11"/>
      <c r="I14" s="11"/>
      <c r="J14" s="14"/>
    </row>
    <row r="15" spans="1:10" x14ac:dyDescent="0.2">
      <c r="A15" s="92"/>
      <c r="B15" s="87"/>
      <c r="C15" s="88"/>
      <c r="D15" s="12"/>
      <c r="E15" s="12"/>
      <c r="F15" s="11"/>
      <c r="G15" s="12"/>
      <c r="H15" s="66"/>
      <c r="I15" s="11"/>
      <c r="J15" s="15"/>
    </row>
    <row r="16" spans="1:10" x14ac:dyDescent="0.2">
      <c r="A16" s="92"/>
      <c r="B16" s="87"/>
      <c r="C16" s="88"/>
      <c r="D16" s="12"/>
      <c r="E16" s="12"/>
      <c r="F16" s="11"/>
      <c r="G16" s="12"/>
      <c r="H16" s="11"/>
      <c r="I16" s="11"/>
      <c r="J16" s="14"/>
    </row>
    <row r="17" spans="1:10" x14ac:dyDescent="0.2">
      <c r="A17" s="92"/>
      <c r="B17" s="87"/>
      <c r="C17" s="88"/>
      <c r="D17" s="12"/>
      <c r="E17" s="12"/>
      <c r="F17" s="11"/>
      <c r="G17" s="12"/>
      <c r="H17" s="11"/>
      <c r="I17" s="11"/>
      <c r="J17" s="14"/>
    </row>
    <row r="18" spans="1:10" x14ac:dyDescent="0.2">
      <c r="A18" s="92"/>
      <c r="B18" s="87" t="s">
        <v>14</v>
      </c>
      <c r="C18" s="88">
        <f t="shared" ref="C18" si="2">C14+1</f>
        <v>44561</v>
      </c>
      <c r="D18" s="12"/>
      <c r="E18" s="12"/>
      <c r="F18" s="5"/>
      <c r="G18" s="12"/>
      <c r="H18" s="58"/>
      <c r="I18" s="11"/>
      <c r="J18" s="14"/>
    </row>
    <row r="19" spans="1:10" x14ac:dyDescent="0.2">
      <c r="A19" s="92"/>
      <c r="B19" s="87"/>
      <c r="C19" s="88"/>
      <c r="D19" s="12"/>
      <c r="E19" s="12"/>
      <c r="F19" s="11"/>
      <c r="G19" s="12"/>
      <c r="H19" s="11"/>
      <c r="I19" s="11"/>
      <c r="J19" s="14"/>
    </row>
    <row r="20" spans="1:10" x14ac:dyDescent="0.2">
      <c r="A20" s="92"/>
      <c r="B20" s="87"/>
      <c r="C20" s="88"/>
      <c r="D20" s="12" t="s">
        <v>33</v>
      </c>
      <c r="E20" s="12" t="s">
        <v>34</v>
      </c>
      <c r="F20" s="11" t="s">
        <v>35</v>
      </c>
      <c r="G20" s="12">
        <v>8</v>
      </c>
      <c r="H20" s="58" t="s">
        <v>39</v>
      </c>
      <c r="I20" s="11"/>
      <c r="J20" s="14"/>
    </row>
    <row r="21" spans="1:10" x14ac:dyDescent="0.2">
      <c r="A21" s="92"/>
      <c r="B21" s="87"/>
      <c r="C21" s="88"/>
      <c r="D21" s="12"/>
      <c r="E21" s="48"/>
      <c r="F21" s="11"/>
      <c r="G21" s="12"/>
      <c r="H21" s="11"/>
      <c r="I21" s="11"/>
      <c r="J21" s="14"/>
    </row>
    <row r="22" spans="1:10" x14ac:dyDescent="0.2">
      <c r="A22" s="92"/>
      <c r="B22" s="87" t="s">
        <v>27</v>
      </c>
      <c r="C22" s="88">
        <f t="shared" ref="C22" si="3">C18+1</f>
        <v>44562</v>
      </c>
      <c r="D22" s="48"/>
      <c r="E22" s="12"/>
      <c r="F22" s="11"/>
      <c r="G22" s="12"/>
      <c r="H22" s="11"/>
      <c r="I22" s="11"/>
      <c r="J22" s="14"/>
    </row>
    <row r="23" spans="1:10" x14ac:dyDescent="0.2">
      <c r="A23" s="92"/>
      <c r="B23" s="87"/>
      <c r="C23" s="88"/>
      <c r="D23" s="12"/>
      <c r="E23" s="12"/>
      <c r="F23" s="11"/>
      <c r="G23" s="12"/>
      <c r="H23" s="11"/>
      <c r="I23" s="11"/>
      <c r="J23" s="14"/>
    </row>
    <row r="24" spans="1:10" x14ac:dyDescent="0.2">
      <c r="A24" s="92"/>
      <c r="B24" s="87"/>
      <c r="C24" s="88"/>
      <c r="D24" s="12"/>
      <c r="E24" s="12"/>
      <c r="F24" s="11"/>
      <c r="G24" s="12"/>
      <c r="H24" s="11"/>
      <c r="I24" s="11"/>
      <c r="J24" s="14"/>
    </row>
    <row r="25" spans="1:10" x14ac:dyDescent="0.2">
      <c r="A25" s="92"/>
      <c r="B25" s="87"/>
      <c r="C25" s="88"/>
      <c r="D25" s="12"/>
      <c r="F25" s="11"/>
      <c r="G25" s="12"/>
      <c r="H25" s="11"/>
      <c r="I25" s="11"/>
      <c r="J25" s="14"/>
    </row>
    <row r="26" spans="1:10" ht="15.75" thickBot="1" x14ac:dyDescent="0.3">
      <c r="A26" s="89"/>
      <c r="B26" s="85"/>
      <c r="C26" s="90"/>
      <c r="D26" s="60"/>
      <c r="E26" s="60"/>
      <c r="F26" s="16"/>
      <c r="G26" s="60"/>
      <c r="H26" s="16"/>
      <c r="I26" s="16"/>
      <c r="J26" s="17" t="str">
        <f>"Wochenstunden: "&amp; SUM($G2:$G25)</f>
        <v>Wochenstunden: 13</v>
      </c>
    </row>
    <row r="27" spans="1:10" x14ac:dyDescent="0.2">
      <c r="A27" s="91">
        <f>WEEKNUM($C27,2)</f>
        <v>2</v>
      </c>
      <c r="B27" s="86" t="s">
        <v>10</v>
      </c>
      <c r="C27" s="93">
        <f>C22+2</f>
        <v>44564</v>
      </c>
      <c r="D27" s="47"/>
      <c r="E27" s="48"/>
      <c r="F27" s="49"/>
      <c r="G27" s="9"/>
      <c r="H27" s="8"/>
      <c r="I27" s="8"/>
      <c r="J27" s="10"/>
    </row>
    <row r="28" spans="1:10" x14ac:dyDescent="0.2">
      <c r="A28" s="92"/>
      <c r="B28" s="87"/>
      <c r="C28" s="88"/>
      <c r="D28" s="48"/>
      <c r="E28" s="48"/>
      <c r="F28" s="50"/>
      <c r="G28" s="12"/>
      <c r="H28" s="11"/>
      <c r="I28" s="11"/>
      <c r="J28" s="13"/>
    </row>
    <row r="29" spans="1:10" x14ac:dyDescent="0.2">
      <c r="A29" s="92"/>
      <c r="B29" s="87"/>
      <c r="C29" s="88"/>
      <c r="D29" s="48"/>
      <c r="E29" s="48"/>
      <c r="F29" s="50"/>
      <c r="G29" s="12"/>
      <c r="H29" s="11"/>
      <c r="I29" s="11"/>
      <c r="J29" s="14"/>
    </row>
    <row r="30" spans="1:10" x14ac:dyDescent="0.2">
      <c r="A30" s="92"/>
      <c r="B30" s="87"/>
      <c r="C30" s="88"/>
      <c r="D30" s="48"/>
      <c r="E30" s="48"/>
      <c r="F30" s="50"/>
      <c r="G30" s="12"/>
      <c r="H30" s="11"/>
      <c r="I30" s="11"/>
      <c r="J30" s="14"/>
    </row>
    <row r="31" spans="1:10" x14ac:dyDescent="0.2">
      <c r="A31" s="92"/>
      <c r="B31" s="87" t="s">
        <v>11</v>
      </c>
      <c r="C31" s="88">
        <f>C27+1</f>
        <v>44565</v>
      </c>
      <c r="D31" s="48"/>
      <c r="E31" s="48"/>
      <c r="F31" s="50"/>
      <c r="G31" s="12"/>
      <c r="H31" s="11"/>
      <c r="I31" s="11"/>
      <c r="J31" s="15"/>
    </row>
    <row r="32" spans="1:10" x14ac:dyDescent="0.2">
      <c r="A32" s="92"/>
      <c r="B32" s="87"/>
      <c r="C32" s="88"/>
      <c r="D32" s="48"/>
      <c r="E32" s="12"/>
      <c r="F32" s="50"/>
      <c r="G32" s="12"/>
      <c r="H32" s="11"/>
      <c r="I32" s="11"/>
      <c r="J32" s="14"/>
    </row>
    <row r="33" spans="1:10" x14ac:dyDescent="0.2">
      <c r="A33" s="92"/>
      <c r="B33" s="87"/>
      <c r="C33" s="88"/>
      <c r="D33" s="12"/>
      <c r="E33" s="12"/>
      <c r="F33" s="11"/>
      <c r="G33" s="12"/>
      <c r="H33" s="11"/>
      <c r="I33" s="11"/>
      <c r="J33" s="14"/>
    </row>
    <row r="34" spans="1:10" x14ac:dyDescent="0.2">
      <c r="A34" s="92"/>
      <c r="B34" s="87"/>
      <c r="C34" s="88"/>
      <c r="D34" s="12"/>
      <c r="E34" s="48"/>
      <c r="F34" s="11"/>
      <c r="G34" s="12"/>
      <c r="H34" s="11"/>
      <c r="I34" s="11"/>
      <c r="J34" s="14"/>
    </row>
    <row r="35" spans="1:10" x14ac:dyDescent="0.2">
      <c r="A35" s="92"/>
      <c r="B35" s="87" t="s">
        <v>12</v>
      </c>
      <c r="C35" s="88">
        <f t="shared" ref="C35" si="4">C31+1</f>
        <v>44566</v>
      </c>
      <c r="D35" s="48"/>
      <c r="E35" s="12"/>
      <c r="F35" s="11"/>
      <c r="G35" s="12"/>
      <c r="H35" s="11"/>
      <c r="I35" s="11"/>
      <c r="J35" s="15"/>
    </row>
    <row r="36" spans="1:10" x14ac:dyDescent="0.2">
      <c r="A36" s="92"/>
      <c r="B36" s="87"/>
      <c r="C36" s="88"/>
      <c r="D36" s="12"/>
      <c r="E36" s="12"/>
      <c r="F36" s="11"/>
      <c r="G36" s="12"/>
      <c r="H36" s="11"/>
      <c r="I36" s="11"/>
      <c r="J36" s="15"/>
    </row>
    <row r="37" spans="1:10" x14ac:dyDescent="0.2">
      <c r="A37" s="92"/>
      <c r="B37" s="87"/>
      <c r="C37" s="88"/>
      <c r="D37" s="12"/>
      <c r="E37" s="12"/>
      <c r="F37" s="11"/>
      <c r="G37" s="12"/>
      <c r="H37" s="11"/>
      <c r="I37" s="11"/>
      <c r="J37" s="14"/>
    </row>
    <row r="38" spans="1:10" x14ac:dyDescent="0.2">
      <c r="A38" s="92"/>
      <c r="B38" s="87"/>
      <c r="C38" s="88"/>
      <c r="D38" s="12" t="s">
        <v>33</v>
      </c>
      <c r="E38" s="48" t="s">
        <v>34</v>
      </c>
      <c r="F38" s="11" t="s">
        <v>35</v>
      </c>
      <c r="G38" s="12">
        <v>4</v>
      </c>
      <c r="H38" s="11" t="s">
        <v>40</v>
      </c>
      <c r="I38" s="11"/>
      <c r="J38" s="14"/>
    </row>
    <row r="39" spans="1:10" x14ac:dyDescent="0.2">
      <c r="A39" s="92"/>
      <c r="B39" s="87" t="s">
        <v>13</v>
      </c>
      <c r="C39" s="88">
        <f t="shared" ref="C39" si="5">C35+1</f>
        <v>44567</v>
      </c>
      <c r="D39" s="48"/>
      <c r="E39" s="12"/>
      <c r="F39" s="11"/>
      <c r="G39" s="12"/>
      <c r="H39" s="11"/>
      <c r="I39" s="11"/>
      <c r="J39" s="14"/>
    </row>
    <row r="40" spans="1:10" x14ac:dyDescent="0.2">
      <c r="A40" s="92"/>
      <c r="B40" s="87"/>
      <c r="C40" s="88"/>
      <c r="D40" s="12"/>
      <c r="E40" s="12"/>
      <c r="F40" s="11"/>
      <c r="G40" s="12"/>
      <c r="H40" s="3"/>
      <c r="I40" s="11"/>
      <c r="J40" s="15"/>
    </row>
    <row r="41" spans="1:10" x14ac:dyDescent="0.2">
      <c r="A41" s="92"/>
      <c r="B41" s="87"/>
      <c r="C41" s="88"/>
      <c r="D41" s="12"/>
      <c r="E41" s="12"/>
      <c r="F41" s="11"/>
      <c r="G41" s="12"/>
      <c r="H41" s="11"/>
      <c r="I41" s="11"/>
      <c r="J41" s="14"/>
    </row>
    <row r="42" spans="1:10" x14ac:dyDescent="0.2">
      <c r="A42" s="92"/>
      <c r="B42" s="87"/>
      <c r="C42" s="88"/>
      <c r="D42" s="12"/>
      <c r="E42" s="12"/>
      <c r="F42" s="11"/>
      <c r="G42" s="12"/>
      <c r="H42" s="11"/>
      <c r="I42" s="11"/>
      <c r="J42" s="14"/>
    </row>
    <row r="43" spans="1:10" x14ac:dyDescent="0.2">
      <c r="A43" s="92"/>
      <c r="B43" s="87" t="s">
        <v>14</v>
      </c>
      <c r="C43" s="88">
        <f t="shared" ref="C43" si="6">C39+1</f>
        <v>44568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2"/>
      <c r="B44" s="87"/>
      <c r="C44" s="88"/>
      <c r="D44" s="12"/>
      <c r="E44" s="12"/>
      <c r="F44" s="11"/>
      <c r="G44" s="12"/>
      <c r="H44" s="11"/>
      <c r="I44" s="11"/>
      <c r="J44" s="14"/>
    </row>
    <row r="45" spans="1:10" x14ac:dyDescent="0.2">
      <c r="A45" s="92"/>
      <c r="B45" s="87"/>
      <c r="C45" s="88"/>
      <c r="D45" s="12"/>
      <c r="E45" s="12"/>
      <c r="F45" s="11"/>
      <c r="G45" s="12"/>
      <c r="H45" s="11"/>
      <c r="I45" s="11"/>
      <c r="J45" s="14"/>
    </row>
    <row r="46" spans="1:10" x14ac:dyDescent="0.2">
      <c r="A46" s="92"/>
      <c r="B46" s="87"/>
      <c r="C46" s="88"/>
      <c r="D46" s="12"/>
      <c r="E46" s="48"/>
      <c r="F46" s="11"/>
      <c r="G46" s="12"/>
      <c r="H46" s="11"/>
      <c r="I46" s="11"/>
      <c r="J46" s="14"/>
    </row>
    <row r="47" spans="1:10" x14ac:dyDescent="0.2">
      <c r="A47" s="92"/>
      <c r="B47" s="87" t="s">
        <v>27</v>
      </c>
      <c r="C47" s="88">
        <f t="shared" ref="C47" si="7">C43+1</f>
        <v>44569</v>
      </c>
      <c r="D47" s="48"/>
      <c r="E47" s="12"/>
      <c r="F47" s="11"/>
      <c r="G47" s="12"/>
      <c r="H47" s="11"/>
      <c r="I47" s="11"/>
      <c r="J47" s="14"/>
    </row>
    <row r="48" spans="1:10" x14ac:dyDescent="0.2">
      <c r="A48" s="92"/>
      <c r="B48" s="87"/>
      <c r="C48" s="88"/>
      <c r="D48" s="12"/>
      <c r="E48" s="12"/>
      <c r="F48" s="11"/>
      <c r="G48" s="12"/>
      <c r="H48" s="11"/>
      <c r="I48" s="11"/>
      <c r="J48" s="14"/>
    </row>
    <row r="49" spans="1:10" x14ac:dyDescent="0.2">
      <c r="A49" s="92"/>
      <c r="B49" s="87"/>
      <c r="C49" s="88"/>
      <c r="D49" s="12"/>
      <c r="E49" s="12"/>
      <c r="F49" s="11"/>
      <c r="G49" s="12"/>
      <c r="H49" s="11"/>
      <c r="I49" s="11"/>
      <c r="J49" s="14"/>
    </row>
    <row r="50" spans="1:10" x14ac:dyDescent="0.2">
      <c r="A50" s="92"/>
      <c r="B50" s="87"/>
      <c r="C50" s="88"/>
      <c r="D50" s="12"/>
      <c r="F50" s="11"/>
      <c r="G50" s="12"/>
      <c r="H50" s="11"/>
      <c r="I50" s="11"/>
      <c r="J50" s="14"/>
    </row>
    <row r="51" spans="1:10" ht="15.75" thickBot="1" x14ac:dyDescent="0.3">
      <c r="A51" s="89"/>
      <c r="B51" s="85"/>
      <c r="C51" s="90"/>
      <c r="D51" s="60"/>
      <c r="E51" s="60"/>
      <c r="F51" s="16"/>
      <c r="G51" s="60"/>
      <c r="H51" s="16"/>
      <c r="I51" s="16"/>
      <c r="J51" s="17" t="str">
        <f>"Wochenstunden: "&amp; SUM($G27:$G50)</f>
        <v>Wochenstunden: 4</v>
      </c>
    </row>
    <row r="52" spans="1:10" x14ac:dyDescent="0.2">
      <c r="A52" s="91">
        <f>WEEKNUM($C52,2)</f>
        <v>3</v>
      </c>
      <c r="B52" s="86" t="s">
        <v>10</v>
      </c>
      <c r="C52" s="93">
        <f>C47+2</f>
        <v>44571</v>
      </c>
      <c r="D52" s="47"/>
      <c r="E52" s="48"/>
      <c r="F52" s="49"/>
      <c r="G52" s="9"/>
      <c r="H52" s="8"/>
      <c r="I52" s="8"/>
      <c r="J52" s="10"/>
    </row>
    <row r="53" spans="1:10" x14ac:dyDescent="0.2">
      <c r="A53" s="92"/>
      <c r="B53" s="87"/>
      <c r="C53" s="88"/>
      <c r="D53" s="48"/>
      <c r="E53" s="48"/>
      <c r="F53" s="50"/>
      <c r="G53" s="12"/>
      <c r="H53" s="11"/>
      <c r="I53" s="11"/>
      <c r="J53" s="13"/>
    </row>
    <row r="54" spans="1:10" x14ac:dyDescent="0.2">
      <c r="A54" s="92"/>
      <c r="B54" s="87"/>
      <c r="C54" s="88"/>
      <c r="D54" s="48"/>
      <c r="E54" s="48"/>
      <c r="F54" s="50"/>
      <c r="G54" s="12"/>
      <c r="H54" s="11"/>
      <c r="I54" s="11"/>
      <c r="J54" s="14"/>
    </row>
    <row r="55" spans="1:10" x14ac:dyDescent="0.2">
      <c r="A55" s="92"/>
      <c r="B55" s="87"/>
      <c r="C55" s="88"/>
      <c r="D55" s="48"/>
      <c r="E55" s="48"/>
      <c r="F55" s="50"/>
      <c r="G55" s="12"/>
      <c r="H55" s="11"/>
      <c r="I55" s="11"/>
      <c r="J55" s="14"/>
    </row>
    <row r="56" spans="1:10" x14ac:dyDescent="0.2">
      <c r="A56" s="92"/>
      <c r="B56" s="87" t="s">
        <v>11</v>
      </c>
      <c r="C56" s="88">
        <f>C52+1</f>
        <v>44572</v>
      </c>
      <c r="D56" s="48"/>
      <c r="E56" s="48"/>
      <c r="F56" s="50"/>
      <c r="G56" s="12"/>
      <c r="H56" s="11"/>
      <c r="I56" s="11"/>
      <c r="J56" s="15"/>
    </row>
    <row r="57" spans="1:10" x14ac:dyDescent="0.2">
      <c r="A57" s="92"/>
      <c r="B57" s="87"/>
      <c r="C57" s="88"/>
      <c r="D57" s="48"/>
      <c r="E57" s="12"/>
      <c r="F57" s="50"/>
      <c r="G57" s="12"/>
      <c r="H57" s="11"/>
      <c r="I57" s="11"/>
      <c r="J57" s="14"/>
    </row>
    <row r="58" spans="1:10" x14ac:dyDescent="0.2">
      <c r="A58" s="92"/>
      <c r="B58" s="87"/>
      <c r="C58" s="88"/>
      <c r="D58" s="12"/>
      <c r="E58" s="12"/>
      <c r="F58" s="11"/>
      <c r="G58" s="12"/>
      <c r="H58" s="11"/>
      <c r="I58" s="11"/>
      <c r="J58" s="14"/>
    </row>
    <row r="59" spans="1:10" x14ac:dyDescent="0.2">
      <c r="A59" s="92"/>
      <c r="B59" s="87"/>
      <c r="C59" s="88"/>
      <c r="D59" s="12"/>
      <c r="E59" s="48"/>
      <c r="F59" s="11"/>
      <c r="G59" s="12"/>
      <c r="H59" s="11"/>
      <c r="I59" s="11"/>
      <c r="J59" s="14"/>
    </row>
    <row r="60" spans="1:10" x14ac:dyDescent="0.2">
      <c r="A60" s="92"/>
      <c r="B60" s="87" t="s">
        <v>12</v>
      </c>
      <c r="C60" s="88">
        <f t="shared" ref="C60" si="8">C56+1</f>
        <v>44573</v>
      </c>
      <c r="D60" s="48"/>
      <c r="E60" s="12"/>
      <c r="F60" s="11"/>
      <c r="G60" s="12"/>
      <c r="H60" s="11"/>
      <c r="I60" s="11"/>
      <c r="J60" s="15"/>
    </row>
    <row r="61" spans="1:10" x14ac:dyDescent="0.2">
      <c r="A61" s="92"/>
      <c r="B61" s="87"/>
      <c r="C61" s="88"/>
      <c r="D61" s="12"/>
      <c r="E61" s="12"/>
      <c r="F61" s="11"/>
      <c r="G61" s="12"/>
      <c r="H61" s="11"/>
      <c r="I61" s="11"/>
      <c r="J61" s="15"/>
    </row>
    <row r="62" spans="1:10" x14ac:dyDescent="0.2">
      <c r="A62" s="92"/>
      <c r="B62" s="87"/>
      <c r="C62" s="88"/>
      <c r="D62" s="12"/>
      <c r="E62" s="12"/>
      <c r="F62" s="11"/>
      <c r="G62" s="12"/>
      <c r="H62" s="11"/>
      <c r="I62" s="11"/>
      <c r="J62" s="14"/>
    </row>
    <row r="63" spans="1:10" x14ac:dyDescent="0.2">
      <c r="A63" s="92"/>
      <c r="B63" s="87"/>
      <c r="C63" s="88"/>
      <c r="D63" s="12"/>
      <c r="E63" s="48"/>
      <c r="F63" s="11"/>
      <c r="G63" s="12"/>
      <c r="H63" s="11"/>
      <c r="I63" s="11"/>
      <c r="J63" s="14"/>
    </row>
    <row r="64" spans="1:10" x14ac:dyDescent="0.2">
      <c r="A64" s="92"/>
      <c r="B64" s="87" t="s">
        <v>13</v>
      </c>
      <c r="C64" s="88">
        <f t="shared" ref="C64" si="9">C60+1</f>
        <v>44574</v>
      </c>
      <c r="D64" s="48"/>
      <c r="E64" s="12"/>
      <c r="F64" s="11"/>
      <c r="G64" s="12"/>
      <c r="H64" s="11"/>
      <c r="I64" s="11"/>
      <c r="J64" s="14"/>
    </row>
    <row r="65" spans="1:10" x14ac:dyDescent="0.2">
      <c r="A65" s="92"/>
      <c r="B65" s="87"/>
      <c r="C65" s="88"/>
      <c r="D65" s="12"/>
      <c r="E65" s="12"/>
      <c r="F65" s="11"/>
      <c r="G65" s="12"/>
      <c r="H65" s="3"/>
      <c r="I65" s="11"/>
      <c r="J65" s="15"/>
    </row>
    <row r="66" spans="1:10" x14ac:dyDescent="0.2">
      <c r="A66" s="92"/>
      <c r="B66" s="87"/>
      <c r="C66" s="88"/>
      <c r="D66" s="12"/>
      <c r="E66" s="12"/>
      <c r="F66" s="11"/>
      <c r="G66" s="12"/>
      <c r="H66" s="11"/>
      <c r="I66" s="11"/>
      <c r="J66" s="14"/>
    </row>
    <row r="67" spans="1:10" x14ac:dyDescent="0.2">
      <c r="A67" s="92"/>
      <c r="B67" s="87"/>
      <c r="C67" s="88"/>
      <c r="D67" s="12"/>
      <c r="E67" s="12"/>
      <c r="F67" s="11"/>
      <c r="G67" s="12"/>
      <c r="H67" s="11"/>
      <c r="I67" s="11"/>
      <c r="J67" s="14"/>
    </row>
    <row r="68" spans="1:10" x14ac:dyDescent="0.2">
      <c r="A68" s="92"/>
      <c r="B68" s="87" t="s">
        <v>14</v>
      </c>
      <c r="C68" s="88">
        <f t="shared" ref="C68" si="10">C64+1</f>
        <v>44575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2"/>
      <c r="B69" s="87"/>
      <c r="C69" s="88"/>
      <c r="D69" s="12"/>
      <c r="E69" s="12"/>
      <c r="F69" s="11"/>
      <c r="G69" s="12"/>
      <c r="H69" s="11"/>
      <c r="I69" s="11"/>
      <c r="J69" s="14"/>
    </row>
    <row r="70" spans="1:10" x14ac:dyDescent="0.2">
      <c r="A70" s="92"/>
      <c r="B70" s="87"/>
      <c r="C70" s="88"/>
      <c r="D70" s="12"/>
      <c r="E70" s="12"/>
      <c r="F70" s="11"/>
      <c r="G70" s="12"/>
      <c r="H70" s="11"/>
      <c r="I70" s="11"/>
      <c r="J70" s="14"/>
    </row>
    <row r="71" spans="1:10" x14ac:dyDescent="0.2">
      <c r="A71" s="92"/>
      <c r="B71" s="87"/>
      <c r="C71" s="88"/>
      <c r="D71" s="12"/>
      <c r="E71" s="48"/>
      <c r="F71" s="11"/>
      <c r="G71" s="12"/>
      <c r="H71" s="11"/>
      <c r="I71" s="11"/>
      <c r="J71" s="14"/>
    </row>
    <row r="72" spans="1:10" x14ac:dyDescent="0.2">
      <c r="A72" s="92"/>
      <c r="B72" s="87" t="s">
        <v>27</v>
      </c>
      <c r="C72" s="88">
        <f t="shared" ref="C72" si="11">C68+1</f>
        <v>44576</v>
      </c>
      <c r="D72" s="48"/>
      <c r="E72" s="12"/>
      <c r="F72" s="11"/>
      <c r="G72" s="12"/>
      <c r="H72" s="11"/>
      <c r="I72" s="11"/>
      <c r="J72" s="14"/>
    </row>
    <row r="73" spans="1:10" x14ac:dyDescent="0.2">
      <c r="A73" s="92"/>
      <c r="B73" s="87"/>
      <c r="C73" s="88"/>
      <c r="D73" s="12"/>
      <c r="E73" s="12"/>
      <c r="F73" s="11"/>
      <c r="G73" s="12"/>
      <c r="H73" s="11"/>
      <c r="I73" s="11"/>
      <c r="J73" s="14"/>
    </row>
    <row r="74" spans="1:10" x14ac:dyDescent="0.2">
      <c r="A74" s="92"/>
      <c r="B74" s="87"/>
      <c r="C74" s="88"/>
      <c r="D74" s="12"/>
      <c r="E74" s="12"/>
      <c r="F74" s="11"/>
      <c r="G74" s="12"/>
      <c r="H74" s="11"/>
      <c r="I74" s="11"/>
      <c r="J74" s="14"/>
    </row>
    <row r="75" spans="1:10" x14ac:dyDescent="0.2">
      <c r="A75" s="92"/>
      <c r="B75" s="87"/>
      <c r="C75" s="88"/>
      <c r="D75" s="12"/>
      <c r="F75" s="11"/>
      <c r="G75" s="12"/>
      <c r="H75" s="11"/>
      <c r="I75" s="11"/>
      <c r="J75" s="14"/>
    </row>
    <row r="76" spans="1:10" ht="15.75" thickBot="1" x14ac:dyDescent="0.3">
      <c r="A76" s="89"/>
      <c r="B76" s="85"/>
      <c r="C76" s="90"/>
      <c r="D76" s="60"/>
      <c r="E76" s="60"/>
      <c r="F76" s="16"/>
      <c r="G76" s="60"/>
      <c r="H76" s="16"/>
      <c r="I76" s="16"/>
      <c r="J76" s="17" t="str">
        <f>"Wochenstunden: "&amp; SUM($G52:$G75)</f>
        <v>Wochenstunden: 0</v>
      </c>
    </row>
    <row r="77" spans="1:10" x14ac:dyDescent="0.2">
      <c r="A77" s="91">
        <f>WEEKNUM($C77,2)</f>
        <v>4</v>
      </c>
      <c r="B77" s="86" t="s">
        <v>10</v>
      </c>
      <c r="C77" s="93">
        <f>C72+2</f>
        <v>44578</v>
      </c>
      <c r="D77" s="47"/>
      <c r="E77" s="48"/>
      <c r="F77" s="49"/>
      <c r="G77" s="9"/>
      <c r="H77" s="8"/>
      <c r="I77" s="8"/>
      <c r="J77" s="10"/>
    </row>
    <row r="78" spans="1:10" x14ac:dyDescent="0.2">
      <c r="A78" s="92"/>
      <c r="B78" s="87"/>
      <c r="C78" s="88"/>
      <c r="D78" s="48"/>
      <c r="E78" s="48"/>
      <c r="F78" s="50"/>
      <c r="G78" s="12"/>
      <c r="H78" s="11"/>
      <c r="I78" s="11"/>
      <c r="J78" s="13"/>
    </row>
    <row r="79" spans="1:10" x14ac:dyDescent="0.2">
      <c r="A79" s="92"/>
      <c r="B79" s="87"/>
      <c r="C79" s="88"/>
      <c r="D79" s="48"/>
      <c r="E79" s="48"/>
      <c r="F79" s="50"/>
      <c r="G79" s="12"/>
      <c r="H79" s="11"/>
      <c r="I79" s="11"/>
      <c r="J79" s="14"/>
    </row>
    <row r="80" spans="1:10" x14ac:dyDescent="0.2">
      <c r="A80" s="92"/>
      <c r="B80" s="87"/>
      <c r="C80" s="88"/>
      <c r="D80" s="48"/>
      <c r="E80" s="48"/>
      <c r="F80" s="50"/>
      <c r="G80" s="12"/>
      <c r="H80" s="11"/>
      <c r="I80" s="11"/>
      <c r="J80" s="14"/>
    </row>
    <row r="81" spans="1:10" x14ac:dyDescent="0.2">
      <c r="A81" s="92"/>
      <c r="B81" s="87" t="s">
        <v>11</v>
      </c>
      <c r="C81" s="88">
        <f>C77+1</f>
        <v>44579</v>
      </c>
      <c r="D81" s="48"/>
      <c r="E81" s="48"/>
      <c r="F81" s="50"/>
      <c r="G81" s="12"/>
      <c r="H81" s="11"/>
      <c r="I81" s="11"/>
      <c r="J81" s="15"/>
    </row>
    <row r="82" spans="1:10" x14ac:dyDescent="0.2">
      <c r="A82" s="92"/>
      <c r="B82" s="87"/>
      <c r="C82" s="88"/>
      <c r="D82" s="48"/>
      <c r="E82" s="12"/>
      <c r="F82" s="50"/>
      <c r="G82" s="12"/>
      <c r="H82" s="11"/>
      <c r="I82" s="11"/>
      <c r="J82" s="14"/>
    </row>
    <row r="83" spans="1:10" x14ac:dyDescent="0.2">
      <c r="A83" s="92"/>
      <c r="B83" s="87"/>
      <c r="C83" s="88"/>
      <c r="D83" s="12"/>
      <c r="E83" s="12"/>
      <c r="F83" s="11"/>
      <c r="G83" s="12"/>
      <c r="H83" s="11"/>
      <c r="I83" s="11"/>
      <c r="J83" s="14"/>
    </row>
    <row r="84" spans="1:10" x14ac:dyDescent="0.2">
      <c r="A84" s="92"/>
      <c r="B84" s="87"/>
      <c r="C84" s="88"/>
      <c r="D84" s="12"/>
      <c r="E84" s="48"/>
      <c r="F84" s="11"/>
      <c r="G84" s="12"/>
      <c r="H84" s="11"/>
      <c r="I84" s="11"/>
      <c r="J84" s="14"/>
    </row>
    <row r="85" spans="1:10" x14ac:dyDescent="0.2">
      <c r="A85" s="92"/>
      <c r="B85" s="87" t="s">
        <v>12</v>
      </c>
      <c r="C85" s="88">
        <f t="shared" ref="C85" si="12">C81+1</f>
        <v>44580</v>
      </c>
      <c r="D85" s="48"/>
      <c r="E85" s="12"/>
      <c r="F85" s="11"/>
      <c r="G85" s="12"/>
      <c r="H85" s="11"/>
      <c r="I85" s="11"/>
      <c r="J85" s="15"/>
    </row>
    <row r="86" spans="1:10" x14ac:dyDescent="0.2">
      <c r="A86" s="92"/>
      <c r="B86" s="87"/>
      <c r="C86" s="88"/>
      <c r="D86" s="12"/>
      <c r="E86" s="12"/>
      <c r="F86" s="11"/>
      <c r="G86" s="12"/>
      <c r="H86" s="11"/>
      <c r="I86" s="11"/>
      <c r="J86" s="15"/>
    </row>
    <row r="87" spans="1:10" x14ac:dyDescent="0.2">
      <c r="A87" s="92"/>
      <c r="B87" s="87"/>
      <c r="C87" s="88"/>
      <c r="D87" s="12"/>
      <c r="E87" s="12"/>
      <c r="F87" s="11"/>
      <c r="G87" s="12"/>
      <c r="H87" s="11"/>
      <c r="I87" s="11"/>
      <c r="J87" s="14"/>
    </row>
    <row r="88" spans="1:10" x14ac:dyDescent="0.2">
      <c r="A88" s="92"/>
      <c r="B88" s="87"/>
      <c r="C88" s="88"/>
      <c r="D88" s="12"/>
      <c r="E88" s="48"/>
      <c r="F88" s="11"/>
      <c r="G88" s="12"/>
      <c r="H88" s="11"/>
      <c r="I88" s="11"/>
      <c r="J88" s="14"/>
    </row>
    <row r="89" spans="1:10" x14ac:dyDescent="0.2">
      <c r="A89" s="92"/>
      <c r="B89" s="87" t="s">
        <v>13</v>
      </c>
      <c r="C89" s="88">
        <f t="shared" ref="C89" si="13">C85+1</f>
        <v>44581</v>
      </c>
      <c r="D89" s="48"/>
      <c r="E89" s="12"/>
      <c r="F89" s="11"/>
      <c r="G89" s="12"/>
      <c r="H89" s="11"/>
      <c r="I89" s="11"/>
      <c r="J89" s="14"/>
    </row>
    <row r="90" spans="1:10" x14ac:dyDescent="0.2">
      <c r="A90" s="92"/>
      <c r="B90" s="87"/>
      <c r="C90" s="88"/>
      <c r="D90" s="12"/>
      <c r="E90" s="12"/>
      <c r="F90" s="11"/>
      <c r="G90" s="12"/>
      <c r="H90" s="3"/>
      <c r="I90" s="11"/>
      <c r="J90" s="15"/>
    </row>
    <row r="91" spans="1:10" x14ac:dyDescent="0.2">
      <c r="A91" s="92"/>
      <c r="B91" s="87"/>
      <c r="C91" s="88"/>
      <c r="D91" s="12"/>
      <c r="E91" s="12"/>
      <c r="F91" s="11"/>
      <c r="G91" s="12"/>
      <c r="H91" s="11"/>
      <c r="I91" s="11"/>
      <c r="J91" s="14"/>
    </row>
    <row r="92" spans="1:10" x14ac:dyDescent="0.2">
      <c r="A92" s="92"/>
      <c r="B92" s="87"/>
      <c r="C92" s="88"/>
      <c r="D92" s="12"/>
      <c r="E92" s="12"/>
      <c r="F92" s="11"/>
      <c r="G92" s="12"/>
      <c r="H92" s="11"/>
      <c r="I92" s="11"/>
      <c r="J92" s="14"/>
    </row>
    <row r="93" spans="1:10" x14ac:dyDescent="0.2">
      <c r="A93" s="92"/>
      <c r="B93" s="87" t="s">
        <v>14</v>
      </c>
      <c r="C93" s="88">
        <f t="shared" ref="C93" si="14">C89+1</f>
        <v>44582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2"/>
      <c r="B94" s="87"/>
      <c r="C94" s="88"/>
      <c r="D94" s="12"/>
      <c r="E94" s="12"/>
      <c r="F94" s="11"/>
      <c r="G94" s="12"/>
      <c r="H94" s="11"/>
      <c r="I94" s="11"/>
      <c r="J94" s="14"/>
    </row>
    <row r="95" spans="1:10" x14ac:dyDescent="0.2">
      <c r="A95" s="92"/>
      <c r="B95" s="87"/>
      <c r="C95" s="88"/>
      <c r="D95" s="12"/>
      <c r="E95" s="12"/>
      <c r="F95" s="11"/>
      <c r="G95" s="12"/>
      <c r="H95" s="11"/>
      <c r="I95" s="11"/>
      <c r="J95" s="14"/>
    </row>
    <row r="96" spans="1:10" x14ac:dyDescent="0.2">
      <c r="A96" s="92"/>
      <c r="B96" s="87"/>
      <c r="C96" s="88"/>
      <c r="D96" s="12"/>
      <c r="E96" s="48"/>
      <c r="F96" s="11"/>
      <c r="G96" s="12"/>
      <c r="H96" s="11"/>
      <c r="I96" s="11"/>
      <c r="J96" s="14"/>
    </row>
    <row r="97" spans="1:10" x14ac:dyDescent="0.2">
      <c r="A97" s="92"/>
      <c r="B97" s="87" t="s">
        <v>27</v>
      </c>
      <c r="C97" s="88">
        <f t="shared" ref="C97" si="15">C93+1</f>
        <v>44583</v>
      </c>
      <c r="D97" s="48"/>
      <c r="E97" s="12"/>
      <c r="F97" s="11"/>
      <c r="G97" s="12"/>
      <c r="H97" s="11"/>
      <c r="I97" s="11"/>
      <c r="J97" s="14"/>
    </row>
    <row r="98" spans="1:10" x14ac:dyDescent="0.2">
      <c r="A98" s="92"/>
      <c r="B98" s="87"/>
      <c r="C98" s="88"/>
      <c r="D98" s="12"/>
      <c r="E98" s="12"/>
      <c r="F98" s="11"/>
      <c r="G98" s="12"/>
      <c r="H98" s="11"/>
      <c r="I98" s="11"/>
      <c r="J98" s="14"/>
    </row>
    <row r="99" spans="1:10" x14ac:dyDescent="0.2">
      <c r="A99" s="92"/>
      <c r="B99" s="87"/>
      <c r="C99" s="88"/>
      <c r="D99" s="12"/>
      <c r="E99" s="12"/>
      <c r="F99" s="11"/>
      <c r="G99" s="12"/>
      <c r="H99" s="11"/>
      <c r="I99" s="11"/>
      <c r="J99" s="14"/>
    </row>
    <row r="100" spans="1:10" x14ac:dyDescent="0.2">
      <c r="A100" s="92"/>
      <c r="B100" s="87"/>
      <c r="C100" s="88"/>
      <c r="D100" s="12"/>
      <c r="F100" s="11"/>
      <c r="G100" s="12"/>
      <c r="H100" s="11"/>
      <c r="I100" s="11"/>
      <c r="J100" s="14"/>
    </row>
    <row r="101" spans="1:10" ht="15.75" thickBot="1" x14ac:dyDescent="0.3">
      <c r="A101" s="89"/>
      <c r="B101" s="85"/>
      <c r="C101" s="90"/>
      <c r="D101" s="60"/>
      <c r="E101" s="60"/>
      <c r="F101" s="16"/>
      <c r="G101" s="60"/>
      <c r="H101" s="16"/>
      <c r="I101" s="16"/>
      <c r="J101" s="17" t="str">
        <f>"Wochenstunden: "&amp; SUM($G77:$G100)</f>
        <v>Wochenstunden: 0</v>
      </c>
    </row>
    <row r="102" spans="1:10" x14ac:dyDescent="0.2">
      <c r="A102" s="91">
        <f>WEEKNUM($C102,2)</f>
        <v>5</v>
      </c>
      <c r="B102" s="86" t="s">
        <v>10</v>
      </c>
      <c r="C102" s="93">
        <f>C97+2</f>
        <v>44585</v>
      </c>
      <c r="D102" s="47"/>
      <c r="E102" s="48"/>
      <c r="F102" s="49"/>
      <c r="G102" s="9"/>
      <c r="H102" s="8"/>
      <c r="I102" s="8"/>
      <c r="J102" s="10"/>
    </row>
    <row r="103" spans="1:10" x14ac:dyDescent="0.2">
      <c r="A103" s="92"/>
      <c r="B103" s="87"/>
      <c r="C103" s="88"/>
      <c r="D103" s="48"/>
      <c r="E103" s="48"/>
      <c r="F103" s="50"/>
      <c r="G103" s="12"/>
      <c r="H103" s="11"/>
      <c r="I103" s="11"/>
      <c r="J103" s="13"/>
    </row>
    <row r="104" spans="1:10" x14ac:dyDescent="0.2">
      <c r="A104" s="92"/>
      <c r="B104" s="87"/>
      <c r="C104" s="88"/>
      <c r="D104" s="48"/>
      <c r="E104" s="48"/>
      <c r="F104" s="50"/>
      <c r="G104" s="12"/>
      <c r="H104" s="11"/>
      <c r="I104" s="11"/>
      <c r="J104" s="14"/>
    </row>
    <row r="105" spans="1:10" x14ac:dyDescent="0.2">
      <c r="A105" s="92"/>
      <c r="B105" s="87"/>
      <c r="C105" s="88"/>
      <c r="D105" s="48"/>
      <c r="E105" s="48"/>
      <c r="F105" s="50"/>
      <c r="G105" s="12"/>
      <c r="H105" s="11"/>
      <c r="I105" s="11"/>
      <c r="J105" s="14"/>
    </row>
    <row r="106" spans="1:10" x14ac:dyDescent="0.2">
      <c r="A106" s="92"/>
      <c r="B106" s="87" t="s">
        <v>11</v>
      </c>
      <c r="C106" s="88">
        <f>C102+1</f>
        <v>44586</v>
      </c>
      <c r="D106" s="48"/>
      <c r="E106" s="48"/>
      <c r="F106" s="50"/>
      <c r="G106" s="12"/>
      <c r="H106" s="11"/>
      <c r="I106" s="11"/>
      <c r="J106" s="15"/>
    </row>
    <row r="107" spans="1:10" x14ac:dyDescent="0.2">
      <c r="A107" s="92"/>
      <c r="B107" s="87"/>
      <c r="C107" s="88"/>
      <c r="D107" s="48"/>
      <c r="E107" s="12"/>
      <c r="F107" s="50"/>
      <c r="G107" s="12"/>
      <c r="H107" s="11"/>
      <c r="I107" s="11"/>
      <c r="J107" s="14"/>
    </row>
    <row r="108" spans="1:10" x14ac:dyDescent="0.2">
      <c r="A108" s="92"/>
      <c r="B108" s="87"/>
      <c r="C108" s="88"/>
      <c r="D108" s="12"/>
      <c r="E108" s="12"/>
      <c r="F108" s="11"/>
      <c r="G108" s="12"/>
      <c r="H108" s="11"/>
      <c r="I108" s="11"/>
      <c r="J108" s="14"/>
    </row>
    <row r="109" spans="1:10" x14ac:dyDescent="0.2">
      <c r="A109" s="92"/>
      <c r="B109" s="87"/>
      <c r="C109" s="88"/>
      <c r="D109" s="12"/>
      <c r="E109" s="48"/>
      <c r="F109" s="11"/>
      <c r="G109" s="12"/>
      <c r="H109" s="11"/>
      <c r="I109" s="11"/>
      <c r="J109" s="14"/>
    </row>
    <row r="110" spans="1:10" x14ac:dyDescent="0.2">
      <c r="A110" s="92"/>
      <c r="B110" s="87" t="s">
        <v>12</v>
      </c>
      <c r="C110" s="88">
        <f t="shared" ref="C110" si="16">C106+1</f>
        <v>44587</v>
      </c>
      <c r="D110" s="48"/>
      <c r="E110" s="12"/>
      <c r="F110" s="11"/>
      <c r="G110" s="12"/>
      <c r="H110" s="11"/>
      <c r="I110" s="11"/>
      <c r="J110" s="15"/>
    </row>
    <row r="111" spans="1:10" x14ac:dyDescent="0.2">
      <c r="A111" s="92"/>
      <c r="B111" s="87"/>
      <c r="C111" s="88"/>
      <c r="D111" s="12"/>
      <c r="E111" s="12"/>
      <c r="F111" s="11"/>
      <c r="G111" s="12"/>
      <c r="H111" s="11"/>
      <c r="I111" s="11"/>
      <c r="J111" s="15"/>
    </row>
    <row r="112" spans="1:10" x14ac:dyDescent="0.2">
      <c r="A112" s="92"/>
      <c r="B112" s="87"/>
      <c r="C112" s="88"/>
      <c r="D112" s="12"/>
      <c r="E112" s="12"/>
      <c r="F112" s="11"/>
      <c r="G112" s="12"/>
      <c r="H112" s="11"/>
      <c r="I112" s="11"/>
      <c r="J112" s="14"/>
    </row>
    <row r="113" spans="1:10" x14ac:dyDescent="0.2">
      <c r="A113" s="92"/>
      <c r="B113" s="87"/>
      <c r="C113" s="88"/>
      <c r="D113" s="12"/>
      <c r="E113" s="48"/>
      <c r="F113" s="11"/>
      <c r="G113" s="12"/>
      <c r="H113" s="11"/>
      <c r="I113" s="11"/>
      <c r="J113" s="14"/>
    </row>
    <row r="114" spans="1:10" x14ac:dyDescent="0.2">
      <c r="A114" s="92"/>
      <c r="B114" s="87" t="s">
        <v>13</v>
      </c>
      <c r="C114" s="88">
        <f t="shared" ref="C114" si="17">C110+1</f>
        <v>44588</v>
      </c>
      <c r="D114" s="48"/>
      <c r="E114" s="12"/>
      <c r="F114" s="11"/>
      <c r="G114" s="12"/>
      <c r="H114" s="11"/>
      <c r="I114" s="11"/>
      <c r="J114" s="14"/>
    </row>
    <row r="115" spans="1:10" x14ac:dyDescent="0.2">
      <c r="A115" s="92"/>
      <c r="B115" s="87"/>
      <c r="C115" s="88"/>
      <c r="D115" s="12"/>
      <c r="E115" s="12"/>
      <c r="F115" s="11"/>
      <c r="G115" s="12"/>
      <c r="H115" s="3"/>
      <c r="I115" s="11"/>
      <c r="J115" s="15"/>
    </row>
    <row r="116" spans="1:10" x14ac:dyDescent="0.2">
      <c r="A116" s="92"/>
      <c r="B116" s="87"/>
      <c r="C116" s="88"/>
      <c r="D116" s="12"/>
      <c r="E116" s="12"/>
      <c r="F116" s="11"/>
      <c r="G116" s="12"/>
      <c r="H116" s="11"/>
      <c r="I116" s="11"/>
      <c r="J116" s="14"/>
    </row>
    <row r="117" spans="1:10" x14ac:dyDescent="0.2">
      <c r="A117" s="92"/>
      <c r="B117" s="87"/>
      <c r="C117" s="88"/>
      <c r="D117" s="12"/>
      <c r="E117" s="12"/>
      <c r="F117" s="11"/>
      <c r="G117" s="12"/>
      <c r="H117" s="11"/>
      <c r="I117" s="11"/>
      <c r="J117" s="14"/>
    </row>
    <row r="118" spans="1:10" x14ac:dyDescent="0.2">
      <c r="A118" s="92"/>
      <c r="B118" s="87" t="s">
        <v>14</v>
      </c>
      <c r="C118" s="88">
        <f t="shared" ref="C118" si="18">C114+1</f>
        <v>44589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2"/>
      <c r="B119" s="87"/>
      <c r="C119" s="88"/>
      <c r="D119" s="12"/>
      <c r="E119" s="12"/>
      <c r="F119" s="11"/>
      <c r="G119" s="12"/>
      <c r="H119" s="11"/>
      <c r="I119" s="11"/>
      <c r="J119" s="14"/>
    </row>
    <row r="120" spans="1:10" x14ac:dyDescent="0.2">
      <c r="A120" s="92"/>
      <c r="B120" s="87"/>
      <c r="C120" s="88"/>
      <c r="D120" s="12"/>
      <c r="E120" s="12"/>
      <c r="F120" s="11"/>
      <c r="G120" s="12"/>
      <c r="H120" s="11"/>
      <c r="I120" s="11"/>
      <c r="J120" s="14"/>
    </row>
    <row r="121" spans="1:10" x14ac:dyDescent="0.2">
      <c r="A121" s="92"/>
      <c r="B121" s="87"/>
      <c r="C121" s="88"/>
      <c r="D121" s="12"/>
      <c r="E121" s="48"/>
      <c r="F121" s="11"/>
      <c r="G121" s="12"/>
      <c r="H121" s="11"/>
      <c r="I121" s="11"/>
      <c r="J121" s="14"/>
    </row>
    <row r="122" spans="1:10" x14ac:dyDescent="0.2">
      <c r="A122" s="92"/>
      <c r="B122" s="87" t="s">
        <v>27</v>
      </c>
      <c r="C122" s="88">
        <f t="shared" ref="C122" si="19">C118+1</f>
        <v>44590</v>
      </c>
      <c r="D122" s="48"/>
      <c r="E122" s="12"/>
      <c r="F122" s="11"/>
      <c r="G122" s="12"/>
      <c r="H122" s="11"/>
      <c r="I122" s="11"/>
      <c r="J122" s="14"/>
    </row>
    <row r="123" spans="1:10" x14ac:dyDescent="0.2">
      <c r="A123" s="92"/>
      <c r="B123" s="87"/>
      <c r="C123" s="88"/>
      <c r="D123" s="12"/>
      <c r="E123" s="12"/>
      <c r="F123" s="11"/>
      <c r="G123" s="12"/>
      <c r="H123" s="11"/>
      <c r="I123" s="11"/>
      <c r="J123" s="14"/>
    </row>
    <row r="124" spans="1:10" x14ac:dyDescent="0.2">
      <c r="A124" s="92"/>
      <c r="B124" s="87"/>
      <c r="C124" s="88"/>
      <c r="D124" s="12"/>
      <c r="E124" s="12"/>
      <c r="F124" s="11"/>
      <c r="G124" s="12"/>
      <c r="H124" s="11"/>
      <c r="I124" s="11"/>
      <c r="J124" s="14"/>
    </row>
    <row r="125" spans="1:10" x14ac:dyDescent="0.2">
      <c r="A125" s="92"/>
      <c r="B125" s="87"/>
      <c r="C125" s="88"/>
      <c r="D125" s="12"/>
      <c r="F125" s="11"/>
      <c r="G125" s="12"/>
      <c r="H125" s="11"/>
      <c r="I125" s="11"/>
      <c r="J125" s="14"/>
    </row>
    <row r="126" spans="1:10" ht="15.75" thickBot="1" x14ac:dyDescent="0.3">
      <c r="A126" s="89"/>
      <c r="B126" s="85"/>
      <c r="C126" s="90"/>
      <c r="D126" s="60"/>
      <c r="E126" s="60"/>
      <c r="F126" s="16"/>
      <c r="G126" s="60"/>
      <c r="H126" s="16"/>
      <c r="I126" s="16"/>
      <c r="J126" s="17" t="str">
        <f>"Wochenstunden: "&amp; SUM($G102:$G125)</f>
        <v>Wochenstunden: 0</v>
      </c>
    </row>
    <row r="127" spans="1:10" x14ac:dyDescent="0.2">
      <c r="A127" s="91">
        <f>WEEKNUM($C127,2)</f>
        <v>6</v>
      </c>
      <c r="B127" s="86" t="s">
        <v>10</v>
      </c>
      <c r="C127" s="93">
        <f>C122+2</f>
        <v>44592</v>
      </c>
      <c r="D127" s="47"/>
      <c r="E127" s="48"/>
      <c r="F127" s="49"/>
      <c r="G127" s="9"/>
      <c r="H127" s="8"/>
      <c r="I127" s="8"/>
      <c r="J127" s="10"/>
    </row>
    <row r="128" spans="1:10" x14ac:dyDescent="0.2">
      <c r="A128" s="92"/>
      <c r="B128" s="87"/>
      <c r="C128" s="88"/>
      <c r="D128" s="48"/>
      <c r="E128" s="48"/>
      <c r="F128" s="50"/>
      <c r="G128" s="12"/>
      <c r="H128" s="11"/>
      <c r="I128" s="11"/>
      <c r="J128" s="13"/>
    </row>
    <row r="129" spans="1:10" x14ac:dyDescent="0.2">
      <c r="A129" s="92"/>
      <c r="B129" s="87"/>
      <c r="C129" s="88"/>
      <c r="D129" s="48"/>
      <c r="E129" s="48"/>
      <c r="F129" s="50"/>
      <c r="G129" s="12"/>
      <c r="H129" s="11"/>
      <c r="I129" s="11"/>
      <c r="J129" s="14"/>
    </row>
    <row r="130" spans="1:10" x14ac:dyDescent="0.2">
      <c r="A130" s="92"/>
      <c r="B130" s="87"/>
      <c r="C130" s="88"/>
      <c r="D130" s="48"/>
      <c r="E130" s="48"/>
      <c r="F130" s="50"/>
      <c r="G130" s="12"/>
      <c r="H130" s="11"/>
      <c r="I130" s="11"/>
      <c r="J130" s="14"/>
    </row>
    <row r="131" spans="1:10" x14ac:dyDescent="0.2">
      <c r="A131" s="92"/>
      <c r="B131" s="87" t="s">
        <v>11</v>
      </c>
      <c r="C131" s="88">
        <f>C127+1</f>
        <v>44593</v>
      </c>
      <c r="D131" s="48"/>
      <c r="E131" s="48"/>
      <c r="F131" s="50"/>
      <c r="G131" s="12"/>
      <c r="H131" s="11"/>
      <c r="I131" s="11"/>
      <c r="J131" s="15"/>
    </row>
    <row r="132" spans="1:10" x14ac:dyDescent="0.2">
      <c r="A132" s="92"/>
      <c r="B132" s="87"/>
      <c r="C132" s="88"/>
      <c r="D132" s="48"/>
      <c r="E132" s="12"/>
      <c r="F132" s="50"/>
      <c r="G132" s="12"/>
      <c r="H132" s="11"/>
      <c r="I132" s="11"/>
      <c r="J132" s="14"/>
    </row>
    <row r="133" spans="1:10" x14ac:dyDescent="0.2">
      <c r="A133" s="92"/>
      <c r="B133" s="87"/>
      <c r="C133" s="88"/>
      <c r="D133" s="12"/>
      <c r="E133" s="12"/>
      <c r="F133" s="11"/>
      <c r="G133" s="12"/>
      <c r="H133" s="11"/>
      <c r="I133" s="11"/>
      <c r="J133" s="14"/>
    </row>
    <row r="134" spans="1:10" x14ac:dyDescent="0.2">
      <c r="A134" s="92"/>
      <c r="B134" s="87"/>
      <c r="C134" s="88"/>
      <c r="D134" s="12"/>
      <c r="E134" s="48"/>
      <c r="F134" s="11"/>
      <c r="G134" s="12"/>
      <c r="H134" s="11"/>
      <c r="I134" s="11"/>
      <c r="J134" s="14"/>
    </row>
    <row r="135" spans="1:10" x14ac:dyDescent="0.2">
      <c r="A135" s="92"/>
      <c r="B135" s="87" t="s">
        <v>12</v>
      </c>
      <c r="C135" s="88">
        <f t="shared" ref="C135" si="20">C131+1</f>
        <v>44594</v>
      </c>
      <c r="D135" s="48"/>
      <c r="E135" s="12"/>
      <c r="F135" s="11"/>
      <c r="G135" s="12"/>
      <c r="H135" s="11"/>
      <c r="I135" s="11"/>
      <c r="J135" s="15"/>
    </row>
    <row r="136" spans="1:10" x14ac:dyDescent="0.2">
      <c r="A136" s="92"/>
      <c r="B136" s="87"/>
      <c r="C136" s="88"/>
      <c r="D136" s="12"/>
      <c r="E136" s="12"/>
      <c r="F136" s="11"/>
      <c r="G136" s="12"/>
      <c r="H136" s="11"/>
      <c r="I136" s="11"/>
      <c r="J136" s="15"/>
    </row>
    <row r="137" spans="1:10" x14ac:dyDescent="0.2">
      <c r="A137" s="92"/>
      <c r="B137" s="87"/>
      <c r="C137" s="88"/>
      <c r="D137" s="12"/>
      <c r="E137" s="12"/>
      <c r="F137" s="11"/>
      <c r="G137" s="12"/>
      <c r="H137" s="11"/>
      <c r="I137" s="11"/>
      <c r="J137" s="14"/>
    </row>
    <row r="138" spans="1:10" x14ac:dyDescent="0.2">
      <c r="A138" s="92"/>
      <c r="B138" s="87"/>
      <c r="C138" s="88"/>
      <c r="D138" s="12"/>
      <c r="E138" s="48"/>
      <c r="F138" s="11"/>
      <c r="G138" s="12"/>
      <c r="H138" s="11"/>
      <c r="I138" s="11"/>
      <c r="J138" s="14"/>
    </row>
    <row r="139" spans="1:10" x14ac:dyDescent="0.2">
      <c r="A139" s="92"/>
      <c r="B139" s="87" t="s">
        <v>13</v>
      </c>
      <c r="C139" s="88">
        <f t="shared" ref="C139" si="21">C135+1</f>
        <v>44595</v>
      </c>
      <c r="D139" s="48"/>
      <c r="E139" s="12"/>
      <c r="F139" s="11"/>
      <c r="G139" s="12"/>
      <c r="H139" s="11"/>
      <c r="I139" s="11"/>
      <c r="J139" s="14"/>
    </row>
    <row r="140" spans="1:10" x14ac:dyDescent="0.2">
      <c r="A140" s="92"/>
      <c r="B140" s="87"/>
      <c r="C140" s="88"/>
      <c r="D140" s="12"/>
      <c r="E140" s="12"/>
      <c r="F140" s="11"/>
      <c r="G140" s="12"/>
      <c r="H140" s="3"/>
      <c r="I140" s="11"/>
      <c r="J140" s="15"/>
    </row>
    <row r="141" spans="1:10" x14ac:dyDescent="0.2">
      <c r="A141" s="92"/>
      <c r="B141" s="87"/>
      <c r="C141" s="88"/>
      <c r="D141" s="12"/>
      <c r="E141" s="12"/>
      <c r="F141" s="11"/>
      <c r="G141" s="12"/>
      <c r="H141" s="11"/>
      <c r="I141" s="11"/>
      <c r="J141" s="14"/>
    </row>
    <row r="142" spans="1:10" x14ac:dyDescent="0.2">
      <c r="A142" s="92"/>
      <c r="B142" s="87"/>
      <c r="C142" s="88"/>
      <c r="D142" s="12"/>
      <c r="E142" s="12"/>
      <c r="F142" s="11"/>
      <c r="G142" s="12"/>
      <c r="H142" s="11"/>
      <c r="I142" s="11"/>
      <c r="J142" s="14"/>
    </row>
    <row r="143" spans="1:10" x14ac:dyDescent="0.2">
      <c r="A143" s="92"/>
      <c r="B143" s="87" t="s">
        <v>14</v>
      </c>
      <c r="C143" s="88">
        <f t="shared" ref="C143" si="22">C139+1</f>
        <v>44596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2"/>
      <c r="B144" s="87"/>
      <c r="C144" s="88"/>
      <c r="D144" s="12"/>
      <c r="E144" s="12"/>
      <c r="F144" s="11"/>
      <c r="G144" s="12"/>
      <c r="H144" s="11"/>
      <c r="I144" s="11"/>
      <c r="J144" s="14"/>
    </row>
    <row r="145" spans="1:10" x14ac:dyDescent="0.2">
      <c r="A145" s="92"/>
      <c r="B145" s="87"/>
      <c r="C145" s="88"/>
      <c r="D145" s="12"/>
      <c r="E145" s="12"/>
      <c r="F145" s="11"/>
      <c r="G145" s="12"/>
      <c r="H145" s="11"/>
      <c r="I145" s="11"/>
      <c r="J145" s="14"/>
    </row>
    <row r="146" spans="1:10" x14ac:dyDescent="0.2">
      <c r="A146" s="92"/>
      <c r="B146" s="87"/>
      <c r="C146" s="88"/>
      <c r="D146" s="12"/>
      <c r="E146" s="48"/>
      <c r="F146" s="11"/>
      <c r="G146" s="12"/>
      <c r="H146" s="11"/>
      <c r="I146" s="11"/>
      <c r="J146" s="14"/>
    </row>
    <row r="147" spans="1:10" x14ac:dyDescent="0.2">
      <c r="A147" s="92"/>
      <c r="B147" s="87" t="s">
        <v>27</v>
      </c>
      <c r="C147" s="88">
        <f t="shared" ref="C147" si="23">C143+1</f>
        <v>44597</v>
      </c>
      <c r="D147" s="48"/>
      <c r="E147" s="12"/>
      <c r="F147" s="11"/>
      <c r="G147" s="12"/>
      <c r="H147" s="11"/>
      <c r="I147" s="11"/>
      <c r="J147" s="14"/>
    </row>
    <row r="148" spans="1:10" x14ac:dyDescent="0.2">
      <c r="A148" s="92"/>
      <c r="B148" s="87"/>
      <c r="C148" s="88"/>
      <c r="D148" s="12"/>
      <c r="E148" s="12"/>
      <c r="F148" s="11"/>
      <c r="G148" s="12"/>
      <c r="H148" s="11"/>
      <c r="I148" s="11"/>
      <c r="J148" s="14"/>
    </row>
    <row r="149" spans="1:10" x14ac:dyDescent="0.2">
      <c r="A149" s="92"/>
      <c r="B149" s="87"/>
      <c r="C149" s="88"/>
      <c r="D149" s="12"/>
      <c r="E149" s="12"/>
      <c r="F149" s="11"/>
      <c r="G149" s="12"/>
      <c r="H149" s="11"/>
      <c r="I149" s="11"/>
      <c r="J149" s="14"/>
    </row>
    <row r="150" spans="1:10" x14ac:dyDescent="0.2">
      <c r="A150" s="92"/>
      <c r="B150" s="87"/>
      <c r="C150" s="88"/>
      <c r="D150" s="12"/>
      <c r="F150" s="11"/>
      <c r="G150" s="12"/>
      <c r="H150" s="11"/>
      <c r="I150" s="11"/>
      <c r="J150" s="14"/>
    </row>
    <row r="151" spans="1:10" ht="15.75" thickBot="1" x14ac:dyDescent="0.3">
      <c r="A151" s="89"/>
      <c r="B151" s="85"/>
      <c r="C151" s="90"/>
      <c r="D151" s="60"/>
      <c r="E151" s="60"/>
      <c r="F151" s="16"/>
      <c r="G151" s="60"/>
      <c r="H151" s="16"/>
      <c r="I151" s="16"/>
      <c r="J151" s="17" t="str">
        <f>"Wochenstunden: "&amp; SUM($G127:$G150)</f>
        <v>Wochenstunden: 0</v>
      </c>
    </row>
    <row r="152" spans="1:10" x14ac:dyDescent="0.2">
      <c r="A152" s="91">
        <f>WEEKNUM($C152,2)</f>
        <v>7</v>
      </c>
      <c r="B152" s="86" t="s">
        <v>10</v>
      </c>
      <c r="C152" s="93">
        <f>C147+2</f>
        <v>44599</v>
      </c>
      <c r="D152" s="47"/>
      <c r="E152" s="48"/>
      <c r="F152" s="49"/>
      <c r="G152" s="9"/>
      <c r="H152" s="8"/>
      <c r="I152" s="8"/>
      <c r="J152" s="10"/>
    </row>
    <row r="153" spans="1:10" x14ac:dyDescent="0.2">
      <c r="A153" s="92"/>
      <c r="B153" s="87"/>
      <c r="C153" s="88"/>
      <c r="D153" s="48"/>
      <c r="E153" s="48"/>
      <c r="F153" s="50"/>
      <c r="G153" s="12"/>
      <c r="H153" s="11"/>
      <c r="I153" s="11"/>
      <c r="J153" s="13"/>
    </row>
    <row r="154" spans="1:10" x14ac:dyDescent="0.2">
      <c r="A154" s="92"/>
      <c r="B154" s="87"/>
      <c r="C154" s="88"/>
      <c r="D154" s="48"/>
      <c r="E154" s="48"/>
      <c r="F154" s="50"/>
      <c r="G154" s="12"/>
      <c r="H154" s="11"/>
      <c r="I154" s="11"/>
      <c r="J154" s="14"/>
    </row>
    <row r="155" spans="1:10" x14ac:dyDescent="0.2">
      <c r="A155" s="92"/>
      <c r="B155" s="87"/>
      <c r="C155" s="88"/>
      <c r="D155" s="48"/>
      <c r="E155" s="48"/>
      <c r="F155" s="50"/>
      <c r="G155" s="12"/>
      <c r="H155" s="11"/>
      <c r="I155" s="11"/>
      <c r="J155" s="14"/>
    </row>
    <row r="156" spans="1:10" x14ac:dyDescent="0.2">
      <c r="A156" s="92"/>
      <c r="B156" s="87" t="s">
        <v>11</v>
      </c>
      <c r="C156" s="88">
        <f>C152+1</f>
        <v>44600</v>
      </c>
      <c r="D156" s="48"/>
      <c r="E156" s="48"/>
      <c r="F156" s="50"/>
      <c r="G156" s="12"/>
      <c r="H156" s="11"/>
      <c r="I156" s="11"/>
      <c r="J156" s="15"/>
    </row>
    <row r="157" spans="1:10" x14ac:dyDescent="0.2">
      <c r="A157" s="92"/>
      <c r="B157" s="87"/>
      <c r="C157" s="88"/>
      <c r="D157" s="48"/>
      <c r="E157" s="12"/>
      <c r="F157" s="50"/>
      <c r="G157" s="12"/>
      <c r="H157" s="11"/>
      <c r="I157" s="11"/>
      <c r="J157" s="14"/>
    </row>
    <row r="158" spans="1:10" x14ac:dyDescent="0.2">
      <c r="A158" s="92"/>
      <c r="B158" s="87"/>
      <c r="C158" s="88"/>
      <c r="D158" s="12"/>
      <c r="E158" s="12"/>
      <c r="F158" s="11"/>
      <c r="G158" s="12"/>
      <c r="H158" s="11"/>
      <c r="I158" s="11"/>
      <c r="J158" s="14"/>
    </row>
    <row r="159" spans="1:10" x14ac:dyDescent="0.2">
      <c r="A159" s="92"/>
      <c r="B159" s="87"/>
      <c r="C159" s="88"/>
      <c r="D159" s="12"/>
      <c r="E159" s="48"/>
      <c r="F159" s="11"/>
      <c r="G159" s="12"/>
      <c r="H159" s="11"/>
      <c r="I159" s="11"/>
      <c r="J159" s="14"/>
    </row>
    <row r="160" spans="1:10" x14ac:dyDescent="0.2">
      <c r="A160" s="92"/>
      <c r="B160" s="87" t="s">
        <v>12</v>
      </c>
      <c r="C160" s="88">
        <f t="shared" ref="C160" si="24">C156+1</f>
        <v>44601</v>
      </c>
      <c r="D160" s="48"/>
      <c r="E160" s="12"/>
      <c r="F160" s="11"/>
      <c r="G160" s="12"/>
      <c r="H160" s="11"/>
      <c r="I160" s="11"/>
      <c r="J160" s="15"/>
    </row>
    <row r="161" spans="1:10" x14ac:dyDescent="0.2">
      <c r="A161" s="92"/>
      <c r="B161" s="87"/>
      <c r="C161" s="88"/>
      <c r="D161" s="12"/>
      <c r="E161" s="12"/>
      <c r="F161" s="11"/>
      <c r="G161" s="12"/>
      <c r="H161" s="11"/>
      <c r="I161" s="11"/>
      <c r="J161" s="15"/>
    </row>
    <row r="162" spans="1:10" x14ac:dyDescent="0.2">
      <c r="A162" s="92"/>
      <c r="B162" s="87"/>
      <c r="C162" s="88"/>
      <c r="D162" s="12"/>
      <c r="E162" s="12"/>
      <c r="F162" s="11"/>
      <c r="G162" s="12"/>
      <c r="H162" s="11"/>
      <c r="I162" s="11"/>
      <c r="J162" s="14"/>
    </row>
    <row r="163" spans="1:10" x14ac:dyDescent="0.2">
      <c r="A163" s="92"/>
      <c r="B163" s="87"/>
      <c r="C163" s="88"/>
      <c r="D163" s="12"/>
      <c r="E163" s="48"/>
      <c r="F163" s="11"/>
      <c r="G163" s="12"/>
      <c r="H163" s="11"/>
      <c r="I163" s="11"/>
      <c r="J163" s="14"/>
    </row>
    <row r="164" spans="1:10" x14ac:dyDescent="0.2">
      <c r="A164" s="92"/>
      <c r="B164" s="87" t="s">
        <v>13</v>
      </c>
      <c r="C164" s="88">
        <f t="shared" ref="C164" si="25">C160+1</f>
        <v>44602</v>
      </c>
      <c r="D164" s="48"/>
      <c r="E164" s="12"/>
      <c r="F164" s="11"/>
      <c r="G164" s="12"/>
      <c r="H164" s="11"/>
      <c r="I164" s="11"/>
      <c r="J164" s="14"/>
    </row>
    <row r="165" spans="1:10" x14ac:dyDescent="0.2">
      <c r="A165" s="92"/>
      <c r="B165" s="87"/>
      <c r="C165" s="88"/>
      <c r="D165" s="12"/>
      <c r="E165" s="12"/>
      <c r="F165" s="11"/>
      <c r="G165" s="12"/>
      <c r="H165" s="3"/>
      <c r="I165" s="11"/>
      <c r="J165" s="15"/>
    </row>
    <row r="166" spans="1:10" x14ac:dyDescent="0.2">
      <c r="A166" s="92"/>
      <c r="B166" s="87"/>
      <c r="C166" s="88"/>
      <c r="D166" s="12"/>
      <c r="E166" s="12"/>
      <c r="F166" s="11"/>
      <c r="G166" s="12"/>
      <c r="H166" s="11"/>
      <c r="I166" s="11"/>
      <c r="J166" s="14"/>
    </row>
    <row r="167" spans="1:10" x14ac:dyDescent="0.2">
      <c r="A167" s="92"/>
      <c r="B167" s="87"/>
      <c r="C167" s="88"/>
      <c r="D167" s="12"/>
      <c r="E167" s="12"/>
      <c r="F167" s="11"/>
      <c r="G167" s="12"/>
      <c r="H167" s="11"/>
      <c r="I167" s="11"/>
      <c r="J167" s="14"/>
    </row>
    <row r="168" spans="1:10" x14ac:dyDescent="0.2">
      <c r="A168" s="92"/>
      <c r="B168" s="87" t="s">
        <v>14</v>
      </c>
      <c r="C168" s="88">
        <f t="shared" ref="C168" si="26">C164+1</f>
        <v>44603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2"/>
      <c r="B169" s="87"/>
      <c r="C169" s="88"/>
      <c r="D169" s="12"/>
      <c r="E169" s="12"/>
      <c r="F169" s="11"/>
      <c r="G169" s="12"/>
      <c r="H169" s="11"/>
      <c r="I169" s="11"/>
      <c r="J169" s="14"/>
    </row>
    <row r="170" spans="1:10" x14ac:dyDescent="0.2">
      <c r="A170" s="92"/>
      <c r="B170" s="87"/>
      <c r="C170" s="88"/>
      <c r="D170" s="12"/>
      <c r="E170" s="12"/>
      <c r="F170" s="11"/>
      <c r="G170" s="12"/>
      <c r="H170" s="11"/>
      <c r="I170" s="11"/>
      <c r="J170" s="14"/>
    </row>
    <row r="171" spans="1:10" x14ac:dyDescent="0.2">
      <c r="A171" s="92"/>
      <c r="B171" s="87"/>
      <c r="C171" s="88"/>
      <c r="D171" s="12"/>
      <c r="E171" s="48"/>
      <c r="F171" s="11"/>
      <c r="G171" s="12"/>
      <c r="H171" s="11"/>
      <c r="I171" s="11"/>
      <c r="J171" s="14"/>
    </row>
    <row r="172" spans="1:10" x14ac:dyDescent="0.2">
      <c r="A172" s="92"/>
      <c r="B172" s="87" t="s">
        <v>27</v>
      </c>
      <c r="C172" s="88">
        <f t="shared" ref="C172" si="27">C168+1</f>
        <v>44604</v>
      </c>
      <c r="D172" s="48"/>
      <c r="E172" s="12"/>
      <c r="F172" s="11"/>
      <c r="G172" s="12"/>
      <c r="H172" s="11"/>
      <c r="I172" s="11"/>
      <c r="J172" s="14"/>
    </row>
    <row r="173" spans="1:10" x14ac:dyDescent="0.2">
      <c r="A173" s="92"/>
      <c r="B173" s="87"/>
      <c r="C173" s="88"/>
      <c r="D173" s="12"/>
      <c r="E173" s="12"/>
      <c r="F173" s="11"/>
      <c r="G173" s="12"/>
      <c r="H173" s="11"/>
      <c r="I173" s="11"/>
      <c r="J173" s="14"/>
    </row>
    <row r="174" spans="1:10" x14ac:dyDescent="0.2">
      <c r="A174" s="92"/>
      <c r="B174" s="87"/>
      <c r="C174" s="88"/>
      <c r="D174" s="12"/>
      <c r="E174" s="12"/>
      <c r="F174" s="11"/>
      <c r="G174" s="12"/>
      <c r="H174" s="11"/>
      <c r="I174" s="11"/>
      <c r="J174" s="14"/>
    </row>
    <row r="175" spans="1:10" x14ac:dyDescent="0.2">
      <c r="A175" s="92"/>
      <c r="B175" s="87"/>
      <c r="C175" s="88"/>
      <c r="D175" s="12"/>
      <c r="F175" s="11"/>
      <c r="G175" s="12"/>
      <c r="H175" s="11"/>
      <c r="I175" s="11"/>
      <c r="J175" s="14"/>
    </row>
    <row r="176" spans="1:10" ht="15.75" thickBot="1" x14ac:dyDescent="0.3">
      <c r="A176" s="89"/>
      <c r="B176" s="85"/>
      <c r="C176" s="90"/>
      <c r="D176" s="60"/>
      <c r="E176" s="60"/>
      <c r="F176" s="16"/>
      <c r="G176" s="60"/>
      <c r="H176" s="16"/>
      <c r="I176" s="16"/>
      <c r="J176" s="17" t="str">
        <f>"Wochenstunden: "&amp; SUM($G152:$G175)</f>
        <v>Wochenstunden: 0</v>
      </c>
    </row>
    <row r="177" spans="1:10" x14ac:dyDescent="0.2">
      <c r="A177" s="91">
        <f>WEEKNUM($C177,2)</f>
        <v>8</v>
      </c>
      <c r="B177" s="86" t="s">
        <v>10</v>
      </c>
      <c r="C177" s="93">
        <f>C172+2</f>
        <v>44606</v>
      </c>
      <c r="D177" s="47"/>
      <c r="E177" s="48"/>
      <c r="F177" s="49"/>
      <c r="G177" s="9"/>
      <c r="H177" s="8"/>
      <c r="I177" s="8"/>
      <c r="J177" s="10"/>
    </row>
    <row r="178" spans="1:10" x14ac:dyDescent="0.2">
      <c r="A178" s="92"/>
      <c r="B178" s="87"/>
      <c r="C178" s="88"/>
      <c r="D178" s="48"/>
      <c r="E178" s="48"/>
      <c r="F178" s="50"/>
      <c r="G178" s="12"/>
      <c r="H178" s="11"/>
      <c r="I178" s="11"/>
      <c r="J178" s="13"/>
    </row>
    <row r="179" spans="1:10" x14ac:dyDescent="0.2">
      <c r="A179" s="92"/>
      <c r="B179" s="87"/>
      <c r="C179" s="88"/>
      <c r="D179" s="48"/>
      <c r="E179" s="48"/>
      <c r="F179" s="50"/>
      <c r="G179" s="12"/>
      <c r="H179" s="11"/>
      <c r="I179" s="11"/>
      <c r="J179" s="14"/>
    </row>
    <row r="180" spans="1:10" x14ac:dyDescent="0.2">
      <c r="A180" s="92"/>
      <c r="B180" s="87"/>
      <c r="C180" s="88"/>
      <c r="D180" s="48"/>
      <c r="E180" s="48"/>
      <c r="F180" s="50"/>
      <c r="G180" s="12"/>
      <c r="H180" s="11"/>
      <c r="I180" s="11"/>
      <c r="J180" s="14"/>
    </row>
    <row r="181" spans="1:10" x14ac:dyDescent="0.2">
      <c r="A181" s="92"/>
      <c r="B181" s="87" t="s">
        <v>11</v>
      </c>
      <c r="C181" s="88">
        <f>C177+1</f>
        <v>44607</v>
      </c>
      <c r="D181" s="48"/>
      <c r="E181" s="48"/>
      <c r="F181" s="50"/>
      <c r="G181" s="12"/>
      <c r="H181" s="11"/>
      <c r="I181" s="11"/>
      <c r="J181" s="15"/>
    </row>
    <row r="182" spans="1:10" x14ac:dyDescent="0.2">
      <c r="A182" s="92"/>
      <c r="B182" s="87"/>
      <c r="C182" s="88"/>
      <c r="D182" s="48"/>
      <c r="E182" s="12"/>
      <c r="F182" s="50"/>
      <c r="G182" s="12"/>
      <c r="H182" s="11"/>
      <c r="I182" s="11"/>
      <c r="J182" s="14"/>
    </row>
    <row r="183" spans="1:10" x14ac:dyDescent="0.2">
      <c r="A183" s="92"/>
      <c r="B183" s="87"/>
      <c r="C183" s="88"/>
      <c r="D183" s="12"/>
      <c r="E183" s="12"/>
      <c r="F183" s="11"/>
      <c r="G183" s="12"/>
      <c r="H183" s="11"/>
      <c r="I183" s="11"/>
      <c r="J183" s="14"/>
    </row>
    <row r="184" spans="1:10" x14ac:dyDescent="0.2">
      <c r="A184" s="92"/>
      <c r="B184" s="87"/>
      <c r="C184" s="88"/>
      <c r="D184" s="12"/>
      <c r="E184" s="48"/>
      <c r="F184" s="11"/>
      <c r="G184" s="12"/>
      <c r="H184" s="11"/>
      <c r="I184" s="11"/>
      <c r="J184" s="14"/>
    </row>
    <row r="185" spans="1:10" x14ac:dyDescent="0.2">
      <c r="A185" s="92"/>
      <c r="B185" s="87" t="s">
        <v>12</v>
      </c>
      <c r="C185" s="88">
        <f t="shared" ref="C185" si="28">C181+1</f>
        <v>44608</v>
      </c>
      <c r="D185" s="48"/>
      <c r="E185" s="12"/>
      <c r="F185" s="11"/>
      <c r="G185" s="12"/>
      <c r="H185" s="11"/>
      <c r="I185" s="11"/>
      <c r="J185" s="15"/>
    </row>
    <row r="186" spans="1:10" x14ac:dyDescent="0.2">
      <c r="A186" s="92"/>
      <c r="B186" s="87"/>
      <c r="C186" s="88"/>
      <c r="D186" s="12"/>
      <c r="E186" s="12"/>
      <c r="F186" s="11"/>
      <c r="G186" s="12"/>
      <c r="H186" s="11"/>
      <c r="I186" s="11"/>
      <c r="J186" s="15"/>
    </row>
    <row r="187" spans="1:10" x14ac:dyDescent="0.2">
      <c r="A187" s="92"/>
      <c r="B187" s="87"/>
      <c r="C187" s="88"/>
      <c r="D187" s="12"/>
      <c r="E187" s="12"/>
      <c r="F187" s="11"/>
      <c r="G187" s="12"/>
      <c r="H187" s="11"/>
      <c r="I187" s="11"/>
      <c r="J187" s="14"/>
    </row>
    <row r="188" spans="1:10" x14ac:dyDescent="0.2">
      <c r="A188" s="92"/>
      <c r="B188" s="87"/>
      <c r="C188" s="88"/>
      <c r="D188" s="12"/>
      <c r="E188" s="48"/>
      <c r="F188" s="11"/>
      <c r="G188" s="12"/>
      <c r="H188" s="11"/>
      <c r="I188" s="11"/>
      <c r="J188" s="14"/>
    </row>
    <row r="189" spans="1:10" x14ac:dyDescent="0.2">
      <c r="A189" s="92"/>
      <c r="B189" s="87" t="s">
        <v>13</v>
      </c>
      <c r="C189" s="88">
        <f t="shared" ref="C189" si="29">C185+1</f>
        <v>44609</v>
      </c>
      <c r="D189" s="48"/>
      <c r="E189" s="12"/>
      <c r="F189" s="11"/>
      <c r="G189" s="12"/>
      <c r="H189" s="11"/>
      <c r="I189" s="11"/>
      <c r="J189" s="14"/>
    </row>
    <row r="190" spans="1:10" x14ac:dyDescent="0.2">
      <c r="A190" s="92"/>
      <c r="B190" s="87"/>
      <c r="C190" s="88"/>
      <c r="D190" s="12"/>
      <c r="E190" s="12"/>
      <c r="F190" s="11"/>
      <c r="G190" s="12"/>
      <c r="H190" s="3"/>
      <c r="I190" s="11"/>
      <c r="J190" s="15"/>
    </row>
    <row r="191" spans="1:10" x14ac:dyDescent="0.2">
      <c r="A191" s="92"/>
      <c r="B191" s="87"/>
      <c r="C191" s="88"/>
      <c r="D191" s="12"/>
      <c r="E191" s="12"/>
      <c r="F191" s="11"/>
      <c r="G191" s="12"/>
      <c r="H191" s="11"/>
      <c r="I191" s="11"/>
      <c r="J191" s="14"/>
    </row>
    <row r="192" spans="1:10" x14ac:dyDescent="0.2">
      <c r="A192" s="92"/>
      <c r="B192" s="87"/>
      <c r="C192" s="88"/>
      <c r="D192" s="12"/>
      <c r="E192" s="12"/>
      <c r="F192" s="11"/>
      <c r="G192" s="12"/>
      <c r="H192" s="11"/>
      <c r="I192" s="11"/>
      <c r="J192" s="14"/>
    </row>
    <row r="193" spans="1:10" x14ac:dyDescent="0.2">
      <c r="A193" s="92"/>
      <c r="B193" s="87" t="s">
        <v>14</v>
      </c>
      <c r="C193" s="88">
        <f t="shared" ref="C193" si="30">C189+1</f>
        <v>44610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2"/>
      <c r="B194" s="87"/>
      <c r="C194" s="88"/>
      <c r="D194" s="12"/>
      <c r="E194" s="12"/>
      <c r="F194" s="11"/>
      <c r="G194" s="12"/>
      <c r="H194" s="11"/>
      <c r="I194" s="11"/>
      <c r="J194" s="14"/>
    </row>
    <row r="195" spans="1:10" x14ac:dyDescent="0.2">
      <c r="A195" s="92"/>
      <c r="B195" s="87"/>
      <c r="C195" s="88"/>
      <c r="D195" s="12"/>
      <c r="E195" s="12"/>
      <c r="F195" s="11"/>
      <c r="G195" s="12"/>
      <c r="H195" s="11"/>
      <c r="I195" s="11"/>
      <c r="J195" s="14"/>
    </row>
    <row r="196" spans="1:10" x14ac:dyDescent="0.2">
      <c r="A196" s="92"/>
      <c r="B196" s="87"/>
      <c r="C196" s="88"/>
      <c r="D196" s="12"/>
      <c r="E196" s="48"/>
      <c r="F196" s="11"/>
      <c r="G196" s="12"/>
      <c r="H196" s="11"/>
      <c r="I196" s="11"/>
      <c r="J196" s="14"/>
    </row>
    <row r="197" spans="1:10" x14ac:dyDescent="0.2">
      <c r="A197" s="92"/>
      <c r="B197" s="87" t="s">
        <v>27</v>
      </c>
      <c r="C197" s="88">
        <f t="shared" ref="C197" si="31">C193+1</f>
        <v>44611</v>
      </c>
      <c r="D197" s="48"/>
      <c r="E197" s="12"/>
      <c r="F197" s="11"/>
      <c r="G197" s="12"/>
      <c r="H197" s="11"/>
      <c r="I197" s="11"/>
      <c r="J197" s="14"/>
    </row>
    <row r="198" spans="1:10" x14ac:dyDescent="0.2">
      <c r="A198" s="92"/>
      <c r="B198" s="87"/>
      <c r="C198" s="88"/>
      <c r="D198" s="12"/>
      <c r="E198" s="12"/>
      <c r="F198" s="11"/>
      <c r="G198" s="12"/>
      <c r="H198" s="11"/>
      <c r="I198" s="11"/>
      <c r="J198" s="14"/>
    </row>
    <row r="199" spans="1:10" x14ac:dyDescent="0.2">
      <c r="A199" s="92"/>
      <c r="B199" s="87"/>
      <c r="C199" s="88"/>
      <c r="D199" s="12"/>
      <c r="E199" s="12"/>
      <c r="F199" s="11"/>
      <c r="G199" s="12"/>
      <c r="H199" s="11"/>
      <c r="I199" s="11"/>
      <c r="J199" s="14"/>
    </row>
    <row r="200" spans="1:10" x14ac:dyDescent="0.2">
      <c r="A200" s="92"/>
      <c r="B200" s="87"/>
      <c r="C200" s="88"/>
      <c r="D200" s="12"/>
      <c r="F200" s="11"/>
      <c r="G200" s="12"/>
      <c r="H200" s="11"/>
      <c r="I200" s="11"/>
      <c r="J200" s="14"/>
    </row>
    <row r="201" spans="1:10" ht="15.75" thickBot="1" x14ac:dyDescent="0.3">
      <c r="A201" s="89"/>
      <c r="B201" s="85"/>
      <c r="C201" s="90"/>
      <c r="D201" s="60"/>
      <c r="E201" s="60"/>
      <c r="F201" s="16"/>
      <c r="G201" s="60"/>
      <c r="H201" s="16"/>
      <c r="I201" s="16"/>
      <c r="J201" s="17" t="str">
        <f>"Wochenstunden: "&amp; SUM($G177:$G200)</f>
        <v>Wochenstunden: 0</v>
      </c>
    </row>
    <row r="202" spans="1:10" x14ac:dyDescent="0.2">
      <c r="A202" s="91">
        <f>WEEKNUM($C202,2)</f>
        <v>9</v>
      </c>
      <c r="B202" s="86" t="s">
        <v>10</v>
      </c>
      <c r="C202" s="93">
        <f>C197+2</f>
        <v>44613</v>
      </c>
      <c r="D202" s="47"/>
      <c r="E202" s="48"/>
      <c r="F202" s="49"/>
      <c r="G202" s="9"/>
      <c r="H202" s="8"/>
      <c r="I202" s="8"/>
      <c r="J202" s="10"/>
    </row>
    <row r="203" spans="1:10" x14ac:dyDescent="0.2">
      <c r="A203" s="92"/>
      <c r="B203" s="87"/>
      <c r="C203" s="88"/>
      <c r="D203" s="48"/>
      <c r="E203" s="48"/>
      <c r="F203" s="50"/>
      <c r="G203" s="12"/>
      <c r="H203" s="11"/>
      <c r="I203" s="11"/>
      <c r="J203" s="13"/>
    </row>
    <row r="204" spans="1:10" x14ac:dyDescent="0.2">
      <c r="A204" s="92"/>
      <c r="B204" s="87"/>
      <c r="C204" s="88"/>
      <c r="D204" s="48"/>
      <c r="E204" s="48"/>
      <c r="F204" s="50"/>
      <c r="G204" s="12"/>
      <c r="H204" s="11"/>
      <c r="I204" s="11"/>
      <c r="J204" s="14"/>
    </row>
    <row r="205" spans="1:10" x14ac:dyDescent="0.2">
      <c r="A205" s="92"/>
      <c r="B205" s="87"/>
      <c r="C205" s="88"/>
      <c r="D205" s="48"/>
      <c r="E205" s="48"/>
      <c r="F205" s="50"/>
      <c r="G205" s="12"/>
      <c r="H205" s="11"/>
      <c r="I205" s="11"/>
      <c r="J205" s="14"/>
    </row>
    <row r="206" spans="1:10" x14ac:dyDescent="0.2">
      <c r="A206" s="92"/>
      <c r="B206" s="87" t="s">
        <v>11</v>
      </c>
      <c r="C206" s="88">
        <f>C202+1</f>
        <v>44614</v>
      </c>
      <c r="D206" s="48"/>
      <c r="E206" s="48"/>
      <c r="F206" s="50"/>
      <c r="G206" s="12"/>
      <c r="H206" s="11"/>
      <c r="I206" s="11"/>
      <c r="J206" s="15"/>
    </row>
    <row r="207" spans="1:10" x14ac:dyDescent="0.2">
      <c r="A207" s="92"/>
      <c r="B207" s="87"/>
      <c r="C207" s="88"/>
      <c r="D207" s="48"/>
      <c r="E207" s="12"/>
      <c r="F207" s="50"/>
      <c r="G207" s="12"/>
      <c r="H207" s="11"/>
      <c r="I207" s="11"/>
      <c r="J207" s="14"/>
    </row>
    <row r="208" spans="1:10" x14ac:dyDescent="0.2">
      <c r="A208" s="92"/>
      <c r="B208" s="87"/>
      <c r="C208" s="88"/>
      <c r="D208" s="12"/>
      <c r="E208" s="12"/>
      <c r="F208" s="11"/>
      <c r="G208" s="12"/>
      <c r="H208" s="11"/>
      <c r="I208" s="11"/>
      <c r="J208" s="14"/>
    </row>
    <row r="209" spans="1:10" x14ac:dyDescent="0.2">
      <c r="A209" s="92"/>
      <c r="B209" s="87"/>
      <c r="C209" s="88"/>
      <c r="D209" s="12"/>
      <c r="E209" s="48"/>
      <c r="F209" s="11"/>
      <c r="G209" s="12"/>
      <c r="H209" s="11"/>
      <c r="I209" s="11"/>
      <c r="J209" s="14"/>
    </row>
    <row r="210" spans="1:10" x14ac:dyDescent="0.2">
      <c r="A210" s="92"/>
      <c r="B210" s="87" t="s">
        <v>12</v>
      </c>
      <c r="C210" s="88">
        <f t="shared" ref="C210" si="32">C206+1</f>
        <v>44615</v>
      </c>
      <c r="D210" s="48"/>
      <c r="E210" s="12"/>
      <c r="F210" s="11"/>
      <c r="G210" s="12"/>
      <c r="H210" s="11"/>
      <c r="I210" s="11"/>
      <c r="J210" s="15"/>
    </row>
    <row r="211" spans="1:10" x14ac:dyDescent="0.2">
      <c r="A211" s="92"/>
      <c r="B211" s="87"/>
      <c r="C211" s="88"/>
      <c r="D211" s="12"/>
      <c r="E211" s="12"/>
      <c r="F211" s="11"/>
      <c r="G211" s="12"/>
      <c r="H211" s="11"/>
      <c r="I211" s="11"/>
      <c r="J211" s="15"/>
    </row>
    <row r="212" spans="1:10" x14ac:dyDescent="0.2">
      <c r="A212" s="92"/>
      <c r="B212" s="87"/>
      <c r="C212" s="88"/>
      <c r="D212" s="12"/>
      <c r="E212" s="12"/>
      <c r="F212" s="11"/>
      <c r="G212" s="12"/>
      <c r="H212" s="11"/>
      <c r="I212" s="11"/>
      <c r="J212" s="14"/>
    </row>
    <row r="213" spans="1:10" x14ac:dyDescent="0.2">
      <c r="A213" s="92"/>
      <c r="B213" s="87"/>
      <c r="C213" s="88"/>
      <c r="D213" s="12"/>
      <c r="E213" s="48"/>
      <c r="F213" s="11"/>
      <c r="G213" s="12"/>
      <c r="H213" s="11"/>
      <c r="I213" s="11"/>
      <c r="J213" s="14"/>
    </row>
    <row r="214" spans="1:10" x14ac:dyDescent="0.2">
      <c r="A214" s="92"/>
      <c r="B214" s="87" t="s">
        <v>13</v>
      </c>
      <c r="C214" s="88">
        <f t="shared" ref="C214" si="33">C210+1</f>
        <v>44616</v>
      </c>
      <c r="D214" s="48"/>
      <c r="E214" s="12"/>
      <c r="F214" s="11"/>
      <c r="G214" s="12"/>
      <c r="H214" s="11"/>
      <c r="I214" s="11"/>
      <c r="J214" s="14"/>
    </row>
    <row r="215" spans="1:10" x14ac:dyDescent="0.2">
      <c r="A215" s="92"/>
      <c r="B215" s="87"/>
      <c r="C215" s="88"/>
      <c r="D215" s="12"/>
      <c r="E215" s="12"/>
      <c r="F215" s="11"/>
      <c r="G215" s="12"/>
      <c r="H215" s="3"/>
      <c r="I215" s="11"/>
      <c r="J215" s="15"/>
    </row>
    <row r="216" spans="1:10" x14ac:dyDescent="0.2">
      <c r="A216" s="92"/>
      <c r="B216" s="87"/>
      <c r="C216" s="88"/>
      <c r="D216" s="12"/>
      <c r="E216" s="12"/>
      <c r="F216" s="11"/>
      <c r="G216" s="12"/>
      <c r="H216" s="11"/>
      <c r="I216" s="11"/>
      <c r="J216" s="14"/>
    </row>
    <row r="217" spans="1:10" x14ac:dyDescent="0.2">
      <c r="A217" s="92"/>
      <c r="B217" s="87"/>
      <c r="C217" s="88"/>
      <c r="D217" s="12"/>
      <c r="E217" s="12"/>
      <c r="F217" s="11"/>
      <c r="G217" s="12"/>
      <c r="H217" s="11"/>
      <c r="I217" s="11"/>
      <c r="J217" s="14"/>
    </row>
    <row r="218" spans="1:10" x14ac:dyDescent="0.2">
      <c r="A218" s="92"/>
      <c r="B218" s="87" t="s">
        <v>14</v>
      </c>
      <c r="C218" s="88">
        <f t="shared" ref="C218" si="34">C214+1</f>
        <v>44617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2"/>
      <c r="B219" s="87"/>
      <c r="C219" s="88"/>
      <c r="D219" s="12"/>
      <c r="E219" s="12"/>
      <c r="F219" s="11"/>
      <c r="G219" s="12"/>
      <c r="H219" s="11"/>
      <c r="I219" s="11"/>
      <c r="J219" s="14"/>
    </row>
    <row r="220" spans="1:10" x14ac:dyDescent="0.2">
      <c r="A220" s="92"/>
      <c r="B220" s="87"/>
      <c r="C220" s="88"/>
      <c r="D220" s="12"/>
      <c r="E220" s="12"/>
      <c r="F220" s="11"/>
      <c r="G220" s="12"/>
      <c r="H220" s="11"/>
      <c r="I220" s="11"/>
      <c r="J220" s="14"/>
    </row>
    <row r="221" spans="1:10" x14ac:dyDescent="0.2">
      <c r="A221" s="92"/>
      <c r="B221" s="87"/>
      <c r="C221" s="88"/>
      <c r="D221" s="12"/>
      <c r="E221" s="48"/>
      <c r="F221" s="11"/>
      <c r="G221" s="12"/>
      <c r="H221" s="11"/>
      <c r="I221" s="11"/>
      <c r="J221" s="14"/>
    </row>
    <row r="222" spans="1:10" x14ac:dyDescent="0.2">
      <c r="A222" s="92"/>
      <c r="B222" s="87" t="s">
        <v>27</v>
      </c>
      <c r="C222" s="88">
        <f t="shared" ref="C222" si="35">C218+1</f>
        <v>44618</v>
      </c>
      <c r="D222" s="48"/>
      <c r="E222" s="12"/>
      <c r="F222" s="11"/>
      <c r="G222" s="12"/>
      <c r="H222" s="11"/>
      <c r="I222" s="11"/>
      <c r="J222" s="14"/>
    </row>
    <row r="223" spans="1:10" x14ac:dyDescent="0.2">
      <c r="A223" s="92"/>
      <c r="B223" s="87"/>
      <c r="C223" s="88"/>
      <c r="D223" s="12"/>
      <c r="E223" s="12"/>
      <c r="F223" s="11"/>
      <c r="G223" s="12"/>
      <c r="H223" s="11"/>
      <c r="I223" s="11"/>
      <c r="J223" s="14"/>
    </row>
    <row r="224" spans="1:10" x14ac:dyDescent="0.2">
      <c r="A224" s="92"/>
      <c r="B224" s="87"/>
      <c r="C224" s="88"/>
      <c r="D224" s="12"/>
      <c r="E224" s="12"/>
      <c r="F224" s="11"/>
      <c r="G224" s="12"/>
      <c r="H224" s="11"/>
      <c r="I224" s="11"/>
      <c r="J224" s="14"/>
    </row>
    <row r="225" spans="1:10" x14ac:dyDescent="0.2">
      <c r="A225" s="92"/>
      <c r="B225" s="87"/>
      <c r="C225" s="88"/>
      <c r="D225" s="12"/>
      <c r="F225" s="11"/>
      <c r="G225" s="12"/>
      <c r="H225" s="11"/>
      <c r="I225" s="11"/>
      <c r="J225" s="14"/>
    </row>
    <row r="226" spans="1:10" ht="15.75" thickBot="1" x14ac:dyDescent="0.3">
      <c r="A226" s="89"/>
      <c r="B226" s="85"/>
      <c r="C226" s="90"/>
      <c r="D226" s="60"/>
      <c r="E226" s="60"/>
      <c r="F226" s="16"/>
      <c r="G226" s="60"/>
      <c r="H226" s="16"/>
      <c r="I226" s="16"/>
      <c r="J226" s="17" t="str">
        <f>"Wochenstunden: "&amp; SUM($G202:$G225)</f>
        <v>Wochenstunden: 0</v>
      </c>
    </row>
    <row r="227" spans="1:10" x14ac:dyDescent="0.2">
      <c r="A227" s="91">
        <f>WEEKNUM($C227,2)</f>
        <v>10</v>
      </c>
      <c r="B227" s="86" t="s">
        <v>10</v>
      </c>
      <c r="C227" s="93">
        <f>C222+2</f>
        <v>44620</v>
      </c>
      <c r="D227" s="47"/>
      <c r="E227" s="48"/>
      <c r="F227" s="49"/>
      <c r="G227" s="9"/>
      <c r="H227" s="8"/>
      <c r="I227" s="8"/>
      <c r="J227" s="10"/>
    </row>
    <row r="228" spans="1:10" x14ac:dyDescent="0.2">
      <c r="A228" s="92"/>
      <c r="B228" s="87"/>
      <c r="C228" s="88"/>
      <c r="D228" s="48"/>
      <c r="E228" s="48"/>
      <c r="F228" s="50"/>
      <c r="G228" s="12"/>
      <c r="H228" s="11"/>
      <c r="I228" s="11"/>
      <c r="J228" s="13"/>
    </row>
    <row r="229" spans="1:10" x14ac:dyDescent="0.2">
      <c r="A229" s="92"/>
      <c r="B229" s="87"/>
      <c r="C229" s="88"/>
      <c r="D229" s="48"/>
      <c r="E229" s="48"/>
      <c r="F229" s="50"/>
      <c r="G229" s="12"/>
      <c r="H229" s="11"/>
      <c r="I229" s="11"/>
      <c r="J229" s="14"/>
    </row>
    <row r="230" spans="1:10" x14ac:dyDescent="0.2">
      <c r="A230" s="92"/>
      <c r="B230" s="87"/>
      <c r="C230" s="88"/>
      <c r="D230" s="48"/>
      <c r="E230" s="48"/>
      <c r="F230" s="50"/>
      <c r="G230" s="12"/>
      <c r="H230" s="11"/>
      <c r="I230" s="11"/>
      <c r="J230" s="14"/>
    </row>
    <row r="231" spans="1:10" x14ac:dyDescent="0.2">
      <c r="A231" s="92"/>
      <c r="B231" s="87" t="s">
        <v>11</v>
      </c>
      <c r="C231" s="88">
        <f>C227+1</f>
        <v>44621</v>
      </c>
      <c r="D231" s="48"/>
      <c r="E231" s="48"/>
      <c r="F231" s="50"/>
      <c r="G231" s="12"/>
      <c r="H231" s="11"/>
      <c r="I231" s="11"/>
      <c r="J231" s="15"/>
    </row>
    <row r="232" spans="1:10" x14ac:dyDescent="0.2">
      <c r="A232" s="92"/>
      <c r="B232" s="87"/>
      <c r="C232" s="88"/>
      <c r="D232" s="48"/>
      <c r="E232" s="12"/>
      <c r="F232" s="50"/>
      <c r="G232" s="12"/>
      <c r="H232" s="11"/>
      <c r="I232" s="11"/>
      <c r="J232" s="14"/>
    </row>
    <row r="233" spans="1:10" x14ac:dyDescent="0.2">
      <c r="A233" s="92"/>
      <c r="B233" s="87"/>
      <c r="C233" s="88"/>
      <c r="D233" s="12"/>
      <c r="E233" s="12"/>
      <c r="F233" s="11"/>
      <c r="G233" s="12"/>
      <c r="H233" s="11"/>
      <c r="I233" s="11"/>
      <c r="J233" s="14"/>
    </row>
    <row r="234" spans="1:10" x14ac:dyDescent="0.2">
      <c r="A234" s="92"/>
      <c r="B234" s="87"/>
      <c r="C234" s="88"/>
      <c r="D234" s="12"/>
      <c r="E234" s="48"/>
      <c r="F234" s="11"/>
      <c r="G234" s="12"/>
      <c r="H234" s="11"/>
      <c r="I234" s="11"/>
      <c r="J234" s="14"/>
    </row>
    <row r="235" spans="1:10" x14ac:dyDescent="0.2">
      <c r="A235" s="92"/>
      <c r="B235" s="87" t="s">
        <v>12</v>
      </c>
      <c r="C235" s="88">
        <f t="shared" ref="C235" si="36">C231+1</f>
        <v>44622</v>
      </c>
      <c r="D235" s="48"/>
      <c r="E235" s="12"/>
      <c r="F235" s="11"/>
      <c r="G235" s="12"/>
      <c r="H235" s="11"/>
      <c r="I235" s="11"/>
      <c r="J235" s="15"/>
    </row>
    <row r="236" spans="1:10" x14ac:dyDescent="0.2">
      <c r="A236" s="92"/>
      <c r="B236" s="87"/>
      <c r="C236" s="88"/>
      <c r="D236" s="12"/>
      <c r="E236" s="12"/>
      <c r="F236" s="11"/>
      <c r="G236" s="12"/>
      <c r="H236" s="11"/>
      <c r="I236" s="11"/>
      <c r="J236" s="15"/>
    </row>
    <row r="237" spans="1:10" x14ac:dyDescent="0.2">
      <c r="A237" s="92"/>
      <c r="B237" s="87"/>
      <c r="C237" s="88"/>
      <c r="D237" s="12"/>
      <c r="E237" s="12"/>
      <c r="F237" s="11"/>
      <c r="G237" s="12"/>
      <c r="H237" s="11"/>
      <c r="I237" s="11"/>
      <c r="J237" s="14"/>
    </row>
    <row r="238" spans="1:10" x14ac:dyDescent="0.2">
      <c r="A238" s="92"/>
      <c r="B238" s="87"/>
      <c r="C238" s="88"/>
      <c r="D238" s="12"/>
      <c r="E238" s="48"/>
      <c r="F238" s="11"/>
      <c r="G238" s="12"/>
      <c r="H238" s="11"/>
      <c r="I238" s="11"/>
      <c r="J238" s="14"/>
    </row>
    <row r="239" spans="1:10" x14ac:dyDescent="0.2">
      <c r="A239" s="92"/>
      <c r="B239" s="87" t="s">
        <v>13</v>
      </c>
      <c r="C239" s="88">
        <f t="shared" ref="C239" si="37">C235+1</f>
        <v>44623</v>
      </c>
      <c r="D239" s="48"/>
      <c r="E239" s="12"/>
      <c r="F239" s="11"/>
      <c r="G239" s="12"/>
      <c r="H239" s="11"/>
      <c r="I239" s="11"/>
      <c r="J239" s="14"/>
    </row>
    <row r="240" spans="1:10" x14ac:dyDescent="0.2">
      <c r="A240" s="92"/>
      <c r="B240" s="87"/>
      <c r="C240" s="88"/>
      <c r="D240" s="12"/>
      <c r="E240" s="12"/>
      <c r="F240" s="11"/>
      <c r="G240" s="12"/>
      <c r="H240" s="3"/>
      <c r="I240" s="11"/>
      <c r="J240" s="15"/>
    </row>
    <row r="241" spans="1:10" x14ac:dyDescent="0.2">
      <c r="A241" s="92"/>
      <c r="B241" s="87"/>
      <c r="C241" s="88"/>
      <c r="D241" s="12"/>
      <c r="E241" s="12"/>
      <c r="F241" s="11"/>
      <c r="G241" s="12"/>
      <c r="H241" s="11"/>
      <c r="I241" s="11"/>
      <c r="J241" s="14"/>
    </row>
    <row r="242" spans="1:10" x14ac:dyDescent="0.2">
      <c r="A242" s="92"/>
      <c r="B242" s="87"/>
      <c r="C242" s="88"/>
      <c r="D242" s="12"/>
      <c r="E242" s="12"/>
      <c r="F242" s="11"/>
      <c r="G242" s="12"/>
      <c r="H242" s="11"/>
      <c r="I242" s="11"/>
      <c r="J242" s="14"/>
    </row>
    <row r="243" spans="1:10" x14ac:dyDescent="0.2">
      <c r="A243" s="92"/>
      <c r="B243" s="87" t="s">
        <v>14</v>
      </c>
      <c r="C243" s="88">
        <f t="shared" ref="C243" si="38">C239+1</f>
        <v>44624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2"/>
      <c r="B244" s="87"/>
      <c r="C244" s="88"/>
      <c r="D244" s="12"/>
      <c r="E244" s="12"/>
      <c r="F244" s="11"/>
      <c r="G244" s="12"/>
      <c r="H244" s="11"/>
      <c r="I244" s="11"/>
      <c r="J244" s="14"/>
    </row>
    <row r="245" spans="1:10" x14ac:dyDescent="0.2">
      <c r="A245" s="92"/>
      <c r="B245" s="87"/>
      <c r="C245" s="88"/>
      <c r="D245" s="12"/>
      <c r="E245" s="12"/>
      <c r="F245" s="11"/>
      <c r="G245" s="12"/>
      <c r="H245" s="11"/>
      <c r="I245" s="11"/>
      <c r="J245" s="14"/>
    </row>
    <row r="246" spans="1:10" x14ac:dyDescent="0.2">
      <c r="A246" s="92"/>
      <c r="B246" s="87"/>
      <c r="C246" s="88"/>
      <c r="D246" s="12"/>
      <c r="E246" s="48"/>
      <c r="F246" s="11"/>
      <c r="G246" s="12"/>
      <c r="H246" s="11"/>
      <c r="I246" s="11"/>
      <c r="J246" s="14"/>
    </row>
    <row r="247" spans="1:10" x14ac:dyDescent="0.2">
      <c r="A247" s="92"/>
      <c r="B247" s="87" t="s">
        <v>27</v>
      </c>
      <c r="C247" s="88">
        <f t="shared" ref="C247" si="39">C243+1</f>
        <v>44625</v>
      </c>
      <c r="D247" s="48"/>
      <c r="E247" s="12"/>
      <c r="F247" s="11"/>
      <c r="G247" s="12"/>
      <c r="H247" s="11"/>
      <c r="I247" s="11"/>
      <c r="J247" s="14"/>
    </row>
    <row r="248" spans="1:10" x14ac:dyDescent="0.2">
      <c r="A248" s="92"/>
      <c r="B248" s="87"/>
      <c r="C248" s="88"/>
      <c r="D248" s="12"/>
      <c r="E248" s="12"/>
      <c r="F248" s="11"/>
      <c r="G248" s="12"/>
      <c r="H248" s="11"/>
      <c r="I248" s="11"/>
      <c r="J248" s="14"/>
    </row>
    <row r="249" spans="1:10" x14ac:dyDescent="0.2">
      <c r="A249" s="92"/>
      <c r="B249" s="87"/>
      <c r="C249" s="88"/>
      <c r="D249" s="12"/>
      <c r="E249" s="12"/>
      <c r="F249" s="11"/>
      <c r="G249" s="12"/>
      <c r="H249" s="11"/>
      <c r="I249" s="11"/>
      <c r="J249" s="14"/>
    </row>
    <row r="250" spans="1:10" x14ac:dyDescent="0.2">
      <c r="A250" s="92"/>
      <c r="B250" s="87"/>
      <c r="C250" s="88"/>
      <c r="D250" s="12"/>
      <c r="F250" s="11"/>
      <c r="G250" s="12"/>
      <c r="H250" s="11"/>
      <c r="I250" s="11"/>
      <c r="J250" s="14"/>
    </row>
    <row r="251" spans="1:10" ht="15.75" thickBot="1" x14ac:dyDescent="0.3">
      <c r="A251" s="89"/>
      <c r="B251" s="85"/>
      <c r="C251" s="90"/>
      <c r="D251" s="60"/>
      <c r="E251" s="60"/>
      <c r="F251" s="16"/>
      <c r="G251" s="60"/>
      <c r="H251" s="16"/>
      <c r="I251" s="16"/>
      <c r="J251" s="17" t="str">
        <f>"Wochenstunden: "&amp; SUM($G227:$G250)</f>
        <v>Wochenstunden: 0</v>
      </c>
    </row>
    <row r="252" spans="1:10" x14ac:dyDescent="0.2">
      <c r="A252" s="91">
        <f>WEEKNUM($C252,2)</f>
        <v>11</v>
      </c>
      <c r="B252" s="86" t="s">
        <v>10</v>
      </c>
      <c r="C252" s="93">
        <f>C247+2</f>
        <v>44627</v>
      </c>
      <c r="D252" s="47"/>
      <c r="E252" s="48"/>
      <c r="F252" s="49"/>
      <c r="G252" s="9"/>
      <c r="H252" s="8"/>
      <c r="I252" s="8"/>
      <c r="J252" s="10"/>
    </row>
    <row r="253" spans="1:10" x14ac:dyDescent="0.2">
      <c r="A253" s="92"/>
      <c r="B253" s="87"/>
      <c r="C253" s="88"/>
      <c r="D253" s="48"/>
      <c r="E253" s="48"/>
      <c r="F253" s="50"/>
      <c r="G253" s="12"/>
      <c r="H253" s="11"/>
      <c r="I253" s="11"/>
      <c r="J253" s="13"/>
    </row>
    <row r="254" spans="1:10" x14ac:dyDescent="0.2">
      <c r="A254" s="92"/>
      <c r="B254" s="87"/>
      <c r="C254" s="88"/>
      <c r="D254" s="48"/>
      <c r="E254" s="48"/>
      <c r="F254" s="50"/>
      <c r="G254" s="12"/>
      <c r="H254" s="11"/>
      <c r="I254" s="11"/>
      <c r="J254" s="14"/>
    </row>
    <row r="255" spans="1:10" x14ac:dyDescent="0.2">
      <c r="A255" s="92"/>
      <c r="B255" s="87"/>
      <c r="C255" s="88"/>
      <c r="D255" s="48"/>
      <c r="E255" s="48"/>
      <c r="F255" s="50"/>
      <c r="G255" s="12"/>
      <c r="H255" s="11"/>
      <c r="I255" s="11"/>
      <c r="J255" s="14"/>
    </row>
    <row r="256" spans="1:10" x14ac:dyDescent="0.2">
      <c r="A256" s="92"/>
      <c r="B256" s="87" t="s">
        <v>11</v>
      </c>
      <c r="C256" s="88">
        <f>C252+1</f>
        <v>44628</v>
      </c>
      <c r="D256" s="48"/>
      <c r="E256" s="48"/>
      <c r="F256" s="50"/>
      <c r="G256" s="12"/>
      <c r="H256" s="11"/>
      <c r="I256" s="11"/>
      <c r="J256" s="15"/>
    </row>
    <row r="257" spans="1:10" x14ac:dyDescent="0.2">
      <c r="A257" s="92"/>
      <c r="B257" s="87"/>
      <c r="C257" s="88"/>
      <c r="D257" s="48"/>
      <c r="E257" s="12"/>
      <c r="F257" s="50"/>
      <c r="G257" s="12"/>
      <c r="H257" s="11"/>
      <c r="I257" s="11"/>
      <c r="J257" s="14"/>
    </row>
    <row r="258" spans="1:10" x14ac:dyDescent="0.2">
      <c r="A258" s="92"/>
      <c r="B258" s="87"/>
      <c r="C258" s="88"/>
      <c r="D258" s="12"/>
      <c r="E258" s="12"/>
      <c r="F258" s="11"/>
      <c r="G258" s="12"/>
      <c r="H258" s="11"/>
      <c r="I258" s="11"/>
      <c r="J258" s="14"/>
    </row>
    <row r="259" spans="1:10" x14ac:dyDescent="0.2">
      <c r="A259" s="92"/>
      <c r="B259" s="87"/>
      <c r="C259" s="88"/>
      <c r="D259" s="12"/>
      <c r="E259" s="48"/>
      <c r="F259" s="11"/>
      <c r="G259" s="12"/>
      <c r="H259" s="11"/>
      <c r="I259" s="11"/>
      <c r="J259" s="14"/>
    </row>
    <row r="260" spans="1:10" x14ac:dyDescent="0.2">
      <c r="A260" s="92"/>
      <c r="B260" s="87" t="s">
        <v>12</v>
      </c>
      <c r="C260" s="88">
        <f t="shared" ref="C260" si="40">C256+1</f>
        <v>44629</v>
      </c>
      <c r="D260" s="48"/>
      <c r="E260" s="12"/>
      <c r="F260" s="11"/>
      <c r="G260" s="12"/>
      <c r="H260" s="11"/>
      <c r="I260" s="11"/>
      <c r="J260" s="15"/>
    </row>
    <row r="261" spans="1:10" x14ac:dyDescent="0.2">
      <c r="A261" s="92"/>
      <c r="B261" s="87"/>
      <c r="C261" s="88"/>
      <c r="D261" s="12"/>
      <c r="E261" s="12"/>
      <c r="F261" s="11"/>
      <c r="G261" s="12"/>
      <c r="H261" s="11"/>
      <c r="I261" s="11"/>
      <c r="J261" s="15"/>
    </row>
    <row r="262" spans="1:10" x14ac:dyDescent="0.2">
      <c r="A262" s="92"/>
      <c r="B262" s="87"/>
      <c r="C262" s="88"/>
      <c r="D262" s="12"/>
      <c r="E262" s="12"/>
      <c r="F262" s="11"/>
      <c r="G262" s="12"/>
      <c r="H262" s="11"/>
      <c r="I262" s="11"/>
      <c r="J262" s="14"/>
    </row>
    <row r="263" spans="1:10" x14ac:dyDescent="0.2">
      <c r="A263" s="92"/>
      <c r="B263" s="87"/>
      <c r="C263" s="88"/>
      <c r="D263" s="12"/>
      <c r="E263" s="48"/>
      <c r="F263" s="11"/>
      <c r="G263" s="12"/>
      <c r="H263" s="11"/>
      <c r="I263" s="11"/>
      <c r="J263" s="14"/>
    </row>
    <row r="264" spans="1:10" x14ac:dyDescent="0.2">
      <c r="A264" s="92"/>
      <c r="B264" s="87" t="s">
        <v>13</v>
      </c>
      <c r="C264" s="88">
        <f t="shared" ref="C264" si="41">C260+1</f>
        <v>44630</v>
      </c>
      <c r="D264" s="48"/>
      <c r="E264" s="12"/>
      <c r="F264" s="11"/>
      <c r="G264" s="12"/>
      <c r="H264" s="11"/>
      <c r="I264" s="11"/>
      <c r="J264" s="14"/>
    </row>
    <row r="265" spans="1:10" x14ac:dyDescent="0.2">
      <c r="A265" s="92"/>
      <c r="B265" s="87"/>
      <c r="C265" s="88"/>
      <c r="D265" s="12"/>
      <c r="E265" s="12"/>
      <c r="F265" s="11"/>
      <c r="G265" s="12"/>
      <c r="H265" s="3"/>
      <c r="I265" s="11"/>
      <c r="J265" s="15"/>
    </row>
    <row r="266" spans="1:10" x14ac:dyDescent="0.2">
      <c r="A266" s="92"/>
      <c r="B266" s="87"/>
      <c r="C266" s="88"/>
      <c r="D266" s="12"/>
      <c r="E266" s="12"/>
      <c r="F266" s="11"/>
      <c r="G266" s="12"/>
      <c r="H266" s="11"/>
      <c r="I266" s="11"/>
      <c r="J266" s="14"/>
    </row>
    <row r="267" spans="1:10" x14ac:dyDescent="0.2">
      <c r="A267" s="92"/>
      <c r="B267" s="87"/>
      <c r="C267" s="88"/>
      <c r="D267" s="12"/>
      <c r="E267" s="12"/>
      <c r="F267" s="11"/>
      <c r="G267" s="12"/>
      <c r="H267" s="11"/>
      <c r="I267" s="11"/>
      <c r="J267" s="14"/>
    </row>
    <row r="268" spans="1:10" x14ac:dyDescent="0.2">
      <c r="A268" s="92"/>
      <c r="B268" s="87" t="s">
        <v>14</v>
      </c>
      <c r="C268" s="88">
        <f t="shared" ref="C268" si="42">C264+1</f>
        <v>44631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2"/>
      <c r="B269" s="87"/>
      <c r="C269" s="88"/>
      <c r="D269" s="12"/>
      <c r="E269" s="12"/>
      <c r="F269" s="11"/>
      <c r="G269" s="12"/>
      <c r="H269" s="11"/>
      <c r="I269" s="11"/>
      <c r="J269" s="14"/>
    </row>
    <row r="270" spans="1:10" x14ac:dyDescent="0.2">
      <c r="A270" s="92"/>
      <c r="B270" s="87"/>
      <c r="C270" s="88"/>
      <c r="D270" s="12"/>
      <c r="E270" s="12"/>
      <c r="F270" s="11"/>
      <c r="G270" s="12"/>
      <c r="H270" s="11"/>
      <c r="I270" s="11"/>
      <c r="J270" s="14"/>
    </row>
    <row r="271" spans="1:10" x14ac:dyDescent="0.2">
      <c r="A271" s="92"/>
      <c r="B271" s="87"/>
      <c r="C271" s="88"/>
      <c r="D271" s="12"/>
      <c r="E271" s="48"/>
      <c r="F271" s="11"/>
      <c r="G271" s="12"/>
      <c r="H271" s="11"/>
      <c r="I271" s="11"/>
      <c r="J271" s="14"/>
    </row>
    <row r="272" spans="1:10" x14ac:dyDescent="0.2">
      <c r="A272" s="92"/>
      <c r="B272" s="87" t="s">
        <v>27</v>
      </c>
      <c r="C272" s="88">
        <f t="shared" ref="C272" si="43">C268+1</f>
        <v>44632</v>
      </c>
      <c r="D272" s="48"/>
      <c r="E272" s="12"/>
      <c r="F272" s="11"/>
      <c r="G272" s="12"/>
      <c r="H272" s="11"/>
      <c r="I272" s="11"/>
      <c r="J272" s="14"/>
    </row>
    <row r="273" spans="1:10" x14ac:dyDescent="0.2">
      <c r="A273" s="92"/>
      <c r="B273" s="87"/>
      <c r="C273" s="88"/>
      <c r="D273" s="12"/>
      <c r="E273" s="12"/>
      <c r="F273" s="11"/>
      <c r="G273" s="12"/>
      <c r="H273" s="11"/>
      <c r="I273" s="11"/>
      <c r="J273" s="14"/>
    </row>
    <row r="274" spans="1:10" x14ac:dyDescent="0.2">
      <c r="A274" s="92"/>
      <c r="B274" s="87"/>
      <c r="C274" s="88"/>
      <c r="D274" s="12"/>
      <c r="E274" s="12"/>
      <c r="F274" s="11"/>
      <c r="G274" s="12"/>
      <c r="H274" s="11"/>
      <c r="I274" s="11"/>
      <c r="J274" s="14"/>
    </row>
    <row r="275" spans="1:10" x14ac:dyDescent="0.2">
      <c r="A275" s="92"/>
      <c r="B275" s="87"/>
      <c r="C275" s="88"/>
      <c r="D275" s="12"/>
      <c r="F275" s="11"/>
      <c r="G275" s="12"/>
      <c r="H275" s="11"/>
      <c r="I275" s="11"/>
      <c r="J275" s="14"/>
    </row>
    <row r="276" spans="1:10" ht="15.75" thickBot="1" x14ac:dyDescent="0.3">
      <c r="A276" s="89"/>
      <c r="B276" s="85"/>
      <c r="C276" s="90"/>
      <c r="D276" s="60"/>
      <c r="E276" s="60"/>
      <c r="F276" s="16"/>
      <c r="G276" s="60"/>
      <c r="H276" s="16"/>
      <c r="I276" s="16"/>
      <c r="J276" s="17" t="str">
        <f>"Wochenstunden: "&amp; SUM($G252:$G275)</f>
        <v>Wochenstunden: 0</v>
      </c>
    </row>
    <row r="277" spans="1:10" x14ac:dyDescent="0.2">
      <c r="A277" s="91">
        <f>WEEKNUM($C277,2)</f>
        <v>12</v>
      </c>
      <c r="B277" s="86" t="s">
        <v>10</v>
      </c>
      <c r="C277" s="93">
        <f>C272+2</f>
        <v>44634</v>
      </c>
      <c r="D277" s="47"/>
      <c r="E277" s="48"/>
      <c r="F277" s="49"/>
      <c r="G277" s="9"/>
      <c r="H277" s="8"/>
      <c r="I277" s="8"/>
      <c r="J277" s="10"/>
    </row>
    <row r="278" spans="1:10" x14ac:dyDescent="0.2">
      <c r="A278" s="92"/>
      <c r="B278" s="87"/>
      <c r="C278" s="88"/>
      <c r="D278" s="48"/>
      <c r="E278" s="48"/>
      <c r="F278" s="50"/>
      <c r="G278" s="12"/>
      <c r="H278" s="11"/>
      <c r="I278" s="11"/>
      <c r="J278" s="13"/>
    </row>
    <row r="279" spans="1:10" x14ac:dyDescent="0.2">
      <c r="A279" s="92"/>
      <c r="B279" s="87"/>
      <c r="C279" s="88"/>
      <c r="D279" s="48"/>
      <c r="E279" s="48"/>
      <c r="F279" s="50"/>
      <c r="G279" s="12"/>
      <c r="H279" s="11"/>
      <c r="I279" s="11"/>
      <c r="J279" s="14"/>
    </row>
    <row r="280" spans="1:10" x14ac:dyDescent="0.2">
      <c r="A280" s="92"/>
      <c r="B280" s="87"/>
      <c r="C280" s="88"/>
      <c r="D280" s="48"/>
      <c r="E280" s="48"/>
      <c r="F280" s="50"/>
      <c r="G280" s="12"/>
      <c r="H280" s="11"/>
      <c r="I280" s="11"/>
      <c r="J280" s="14"/>
    </row>
    <row r="281" spans="1:10" x14ac:dyDescent="0.2">
      <c r="A281" s="92"/>
      <c r="B281" s="87" t="s">
        <v>11</v>
      </c>
      <c r="C281" s="88">
        <f>C277+1</f>
        <v>44635</v>
      </c>
      <c r="D281" s="48"/>
      <c r="E281" s="48"/>
      <c r="F281" s="50"/>
      <c r="G281" s="12"/>
      <c r="H281" s="11"/>
      <c r="I281" s="11"/>
      <c r="J281" s="15"/>
    </row>
    <row r="282" spans="1:10" x14ac:dyDescent="0.2">
      <c r="A282" s="92"/>
      <c r="B282" s="87"/>
      <c r="C282" s="88"/>
      <c r="D282" s="48"/>
      <c r="E282" s="12"/>
      <c r="F282" s="50"/>
      <c r="G282" s="12"/>
      <c r="H282" s="11"/>
      <c r="I282" s="11"/>
      <c r="J282" s="14"/>
    </row>
    <row r="283" spans="1:10" x14ac:dyDescent="0.2">
      <c r="A283" s="92"/>
      <c r="B283" s="87"/>
      <c r="C283" s="88"/>
      <c r="D283" s="12"/>
      <c r="E283" s="12"/>
      <c r="F283" s="11"/>
      <c r="G283" s="12"/>
      <c r="H283" s="11"/>
      <c r="I283" s="11"/>
      <c r="J283" s="14"/>
    </row>
    <row r="284" spans="1:10" x14ac:dyDescent="0.2">
      <c r="A284" s="92"/>
      <c r="B284" s="87"/>
      <c r="C284" s="88"/>
      <c r="D284" s="12"/>
      <c r="E284" s="48"/>
      <c r="F284" s="11"/>
      <c r="G284" s="12"/>
      <c r="H284" s="11"/>
      <c r="I284" s="11"/>
      <c r="J284" s="14"/>
    </row>
    <row r="285" spans="1:10" x14ac:dyDescent="0.2">
      <c r="A285" s="92"/>
      <c r="B285" s="87" t="s">
        <v>12</v>
      </c>
      <c r="C285" s="88">
        <f t="shared" ref="C285" si="44">C281+1</f>
        <v>44636</v>
      </c>
      <c r="D285" s="48"/>
      <c r="E285" s="12"/>
      <c r="F285" s="11"/>
      <c r="G285" s="12"/>
      <c r="H285" s="11"/>
      <c r="I285" s="11"/>
      <c r="J285" s="15"/>
    </row>
    <row r="286" spans="1:10" x14ac:dyDescent="0.2">
      <c r="A286" s="92"/>
      <c r="B286" s="87"/>
      <c r="C286" s="88"/>
      <c r="D286" s="12"/>
      <c r="E286" s="12"/>
      <c r="F286" s="11"/>
      <c r="G286" s="12"/>
      <c r="H286" s="11"/>
      <c r="I286" s="11"/>
      <c r="J286" s="15"/>
    </row>
    <row r="287" spans="1:10" x14ac:dyDescent="0.2">
      <c r="A287" s="92"/>
      <c r="B287" s="87"/>
      <c r="C287" s="88"/>
      <c r="D287" s="12"/>
      <c r="E287" s="12"/>
      <c r="F287" s="11"/>
      <c r="G287" s="12"/>
      <c r="H287" s="11"/>
      <c r="I287" s="11"/>
      <c r="J287" s="14"/>
    </row>
    <row r="288" spans="1:10" x14ac:dyDescent="0.2">
      <c r="A288" s="92"/>
      <c r="B288" s="87"/>
      <c r="C288" s="88"/>
      <c r="D288" s="12"/>
      <c r="E288" s="48"/>
      <c r="F288" s="11"/>
      <c r="G288" s="12"/>
      <c r="H288" s="11"/>
      <c r="I288" s="11"/>
      <c r="J288" s="14"/>
    </row>
    <row r="289" spans="1:10" x14ac:dyDescent="0.2">
      <c r="A289" s="92"/>
      <c r="B289" s="87" t="s">
        <v>13</v>
      </c>
      <c r="C289" s="88">
        <f t="shared" ref="C289" si="45">C285+1</f>
        <v>44637</v>
      </c>
      <c r="D289" s="48"/>
      <c r="E289" s="12"/>
      <c r="F289" s="11"/>
      <c r="G289" s="12"/>
      <c r="H289" s="11"/>
      <c r="I289" s="11"/>
      <c r="J289" s="14"/>
    </row>
    <row r="290" spans="1:10" x14ac:dyDescent="0.2">
      <c r="A290" s="92"/>
      <c r="B290" s="87"/>
      <c r="C290" s="88"/>
      <c r="D290" s="12"/>
      <c r="E290" s="12"/>
      <c r="F290" s="11"/>
      <c r="G290" s="12"/>
      <c r="H290" s="3"/>
      <c r="I290" s="11"/>
      <c r="J290" s="15"/>
    </row>
    <row r="291" spans="1:10" x14ac:dyDescent="0.2">
      <c r="A291" s="92"/>
      <c r="B291" s="87"/>
      <c r="C291" s="88"/>
      <c r="D291" s="12"/>
      <c r="E291" s="12"/>
      <c r="F291" s="11"/>
      <c r="G291" s="12"/>
      <c r="H291" s="11"/>
      <c r="I291" s="11"/>
      <c r="J291" s="14"/>
    </row>
    <row r="292" spans="1:10" x14ac:dyDescent="0.2">
      <c r="A292" s="92"/>
      <c r="B292" s="87"/>
      <c r="C292" s="88"/>
      <c r="D292" s="12"/>
      <c r="E292" s="12"/>
      <c r="F292" s="11"/>
      <c r="G292" s="12"/>
      <c r="H292" s="11"/>
      <c r="I292" s="11"/>
      <c r="J292" s="14"/>
    </row>
    <row r="293" spans="1:10" x14ac:dyDescent="0.2">
      <c r="A293" s="92"/>
      <c r="B293" s="87" t="s">
        <v>14</v>
      </c>
      <c r="C293" s="88">
        <f t="shared" ref="C293" si="46">C289+1</f>
        <v>44638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2"/>
      <c r="B294" s="87"/>
      <c r="C294" s="88"/>
      <c r="D294" s="12"/>
      <c r="E294" s="12"/>
      <c r="F294" s="11"/>
      <c r="G294" s="12"/>
      <c r="H294" s="11"/>
      <c r="I294" s="11"/>
      <c r="J294" s="14"/>
    </row>
    <row r="295" spans="1:10" x14ac:dyDescent="0.2">
      <c r="A295" s="92"/>
      <c r="B295" s="87"/>
      <c r="C295" s="88"/>
      <c r="D295" s="12"/>
      <c r="E295" s="12"/>
      <c r="F295" s="11"/>
      <c r="G295" s="12"/>
      <c r="H295" s="11"/>
      <c r="I295" s="11"/>
      <c r="J295" s="14"/>
    </row>
    <row r="296" spans="1:10" x14ac:dyDescent="0.2">
      <c r="A296" s="92"/>
      <c r="B296" s="87"/>
      <c r="C296" s="88"/>
      <c r="D296" s="12"/>
      <c r="E296" s="48"/>
      <c r="F296" s="11"/>
      <c r="G296" s="12"/>
      <c r="H296" s="11"/>
      <c r="I296" s="11"/>
      <c r="J296" s="14"/>
    </row>
    <row r="297" spans="1:10" x14ac:dyDescent="0.2">
      <c r="A297" s="92"/>
      <c r="B297" s="87" t="s">
        <v>27</v>
      </c>
      <c r="C297" s="88">
        <f t="shared" ref="C297" si="47">C293+1</f>
        <v>44639</v>
      </c>
      <c r="D297" s="48"/>
      <c r="E297" s="12"/>
      <c r="F297" s="11"/>
      <c r="G297" s="12"/>
      <c r="H297" s="11"/>
      <c r="I297" s="11"/>
      <c r="J297" s="14"/>
    </row>
    <row r="298" spans="1:10" x14ac:dyDescent="0.2">
      <c r="A298" s="92"/>
      <c r="B298" s="87"/>
      <c r="C298" s="88"/>
      <c r="D298" s="12"/>
      <c r="E298" s="12"/>
      <c r="F298" s="11"/>
      <c r="G298" s="12"/>
      <c r="H298" s="11"/>
      <c r="I298" s="11"/>
      <c r="J298" s="14"/>
    </row>
    <row r="299" spans="1:10" x14ac:dyDescent="0.2">
      <c r="A299" s="92"/>
      <c r="B299" s="87"/>
      <c r="C299" s="88"/>
      <c r="D299" s="12"/>
      <c r="E299" s="12"/>
      <c r="F299" s="11"/>
      <c r="G299" s="12"/>
      <c r="H299" s="11"/>
      <c r="I299" s="11"/>
      <c r="J299" s="14"/>
    </row>
    <row r="300" spans="1:10" x14ac:dyDescent="0.2">
      <c r="A300" s="92"/>
      <c r="B300" s="87"/>
      <c r="C300" s="88"/>
      <c r="D300" s="12"/>
      <c r="F300" s="11"/>
      <c r="G300" s="12"/>
      <c r="H300" s="11"/>
      <c r="I300" s="11"/>
      <c r="J300" s="14"/>
    </row>
    <row r="301" spans="1:10" ht="15.75" thickBot="1" x14ac:dyDescent="0.3">
      <c r="A301" s="89"/>
      <c r="B301" s="85"/>
      <c r="C301" s="90"/>
      <c r="D301" s="60"/>
      <c r="E301" s="60"/>
      <c r="F301" s="16"/>
      <c r="G301" s="60"/>
      <c r="H301" s="16"/>
      <c r="I301" s="16"/>
      <c r="J301" s="17" t="str">
        <f>"Wochenstunden: "&amp; SUM($G277:$G300)</f>
        <v>Wochenstunden: 0</v>
      </c>
    </row>
    <row r="302" spans="1:10" x14ac:dyDescent="0.2">
      <c r="A302" s="91">
        <f>WEEKNUM($C302,2)</f>
        <v>13</v>
      </c>
      <c r="B302" s="86" t="s">
        <v>10</v>
      </c>
      <c r="C302" s="93">
        <f>C297+2</f>
        <v>44641</v>
      </c>
      <c r="D302" s="47"/>
      <c r="E302" s="48"/>
      <c r="F302" s="49"/>
      <c r="G302" s="9"/>
      <c r="H302" s="8"/>
      <c r="I302" s="8"/>
      <c r="J302" s="10"/>
    </row>
    <row r="303" spans="1:10" x14ac:dyDescent="0.2">
      <c r="A303" s="92"/>
      <c r="B303" s="87"/>
      <c r="C303" s="88"/>
      <c r="D303" s="48"/>
      <c r="E303" s="48"/>
      <c r="F303" s="50"/>
      <c r="G303" s="12"/>
      <c r="H303" s="11"/>
      <c r="I303" s="11"/>
      <c r="J303" s="13"/>
    </row>
    <row r="304" spans="1:10" x14ac:dyDescent="0.2">
      <c r="A304" s="92"/>
      <c r="B304" s="87"/>
      <c r="C304" s="88"/>
      <c r="D304" s="48"/>
      <c r="E304" s="48"/>
      <c r="F304" s="50"/>
      <c r="G304" s="12"/>
      <c r="H304" s="11"/>
      <c r="I304" s="11"/>
      <c r="J304" s="14"/>
    </row>
    <row r="305" spans="1:10" x14ac:dyDescent="0.2">
      <c r="A305" s="92"/>
      <c r="B305" s="87"/>
      <c r="C305" s="88"/>
      <c r="D305" s="48"/>
      <c r="E305" s="48"/>
      <c r="F305" s="50"/>
      <c r="G305" s="12"/>
      <c r="H305" s="11"/>
      <c r="I305" s="11"/>
      <c r="J305" s="14"/>
    </row>
    <row r="306" spans="1:10" x14ac:dyDescent="0.2">
      <c r="A306" s="92"/>
      <c r="B306" s="87" t="s">
        <v>11</v>
      </c>
      <c r="C306" s="88">
        <f>C302+1</f>
        <v>44642</v>
      </c>
      <c r="D306" s="48"/>
      <c r="E306" s="48"/>
      <c r="F306" s="50"/>
      <c r="G306" s="12"/>
      <c r="H306" s="11"/>
      <c r="I306" s="11"/>
      <c r="J306" s="15"/>
    </row>
    <row r="307" spans="1:10" x14ac:dyDescent="0.2">
      <c r="A307" s="92"/>
      <c r="B307" s="87"/>
      <c r="C307" s="88"/>
      <c r="D307" s="48"/>
      <c r="E307" s="12"/>
      <c r="F307" s="50"/>
      <c r="G307" s="12"/>
      <c r="H307" s="11"/>
      <c r="I307" s="11"/>
      <c r="J307" s="14"/>
    </row>
    <row r="308" spans="1:10" x14ac:dyDescent="0.2">
      <c r="A308" s="92"/>
      <c r="B308" s="87"/>
      <c r="C308" s="88"/>
      <c r="D308" s="12"/>
      <c r="E308" s="12"/>
      <c r="F308" s="11"/>
      <c r="G308" s="12"/>
      <c r="H308" s="11"/>
      <c r="I308" s="11"/>
      <c r="J308" s="14"/>
    </row>
    <row r="309" spans="1:10" x14ac:dyDescent="0.2">
      <c r="A309" s="92"/>
      <c r="B309" s="87"/>
      <c r="C309" s="88"/>
      <c r="D309" s="12"/>
      <c r="E309" s="48"/>
      <c r="F309" s="11"/>
      <c r="G309" s="12"/>
      <c r="H309" s="11"/>
      <c r="I309" s="11"/>
      <c r="J309" s="14"/>
    </row>
    <row r="310" spans="1:10" x14ac:dyDescent="0.2">
      <c r="A310" s="92"/>
      <c r="B310" s="87" t="s">
        <v>12</v>
      </c>
      <c r="C310" s="88">
        <f t="shared" ref="C310" si="48">C306+1</f>
        <v>44643</v>
      </c>
      <c r="D310" s="48"/>
      <c r="E310" s="12"/>
      <c r="F310" s="11"/>
      <c r="G310" s="12"/>
      <c r="H310" s="11"/>
      <c r="I310" s="11"/>
      <c r="J310" s="15"/>
    </row>
    <row r="311" spans="1:10" x14ac:dyDescent="0.2">
      <c r="A311" s="92"/>
      <c r="B311" s="87"/>
      <c r="C311" s="88"/>
      <c r="D311" s="12"/>
      <c r="E311" s="12"/>
      <c r="F311" s="11"/>
      <c r="G311" s="12"/>
      <c r="H311" s="11"/>
      <c r="I311" s="11"/>
      <c r="J311" s="15"/>
    </row>
    <row r="312" spans="1:10" x14ac:dyDescent="0.2">
      <c r="A312" s="92"/>
      <c r="B312" s="87"/>
      <c r="C312" s="88"/>
      <c r="D312" s="12"/>
      <c r="E312" s="12"/>
      <c r="F312" s="11"/>
      <c r="G312" s="12"/>
      <c r="H312" s="11"/>
      <c r="I312" s="11"/>
      <c r="J312" s="14"/>
    </row>
    <row r="313" spans="1:10" x14ac:dyDescent="0.2">
      <c r="A313" s="92"/>
      <c r="B313" s="87"/>
      <c r="C313" s="88"/>
      <c r="D313" s="12"/>
      <c r="E313" s="48"/>
      <c r="F313" s="11"/>
      <c r="G313" s="12"/>
      <c r="H313" s="11"/>
      <c r="I313" s="11"/>
      <c r="J313" s="14"/>
    </row>
    <row r="314" spans="1:10" x14ac:dyDescent="0.2">
      <c r="A314" s="92"/>
      <c r="B314" s="87" t="s">
        <v>13</v>
      </c>
      <c r="C314" s="88">
        <f t="shared" ref="C314" si="49">C310+1</f>
        <v>44644</v>
      </c>
      <c r="D314" s="48"/>
      <c r="E314" s="12"/>
      <c r="F314" s="11"/>
      <c r="G314" s="12"/>
      <c r="H314" s="11"/>
      <c r="I314" s="11"/>
      <c r="J314" s="14"/>
    </row>
    <row r="315" spans="1:10" x14ac:dyDescent="0.2">
      <c r="A315" s="92"/>
      <c r="B315" s="87"/>
      <c r="C315" s="88"/>
      <c r="D315" s="12"/>
      <c r="E315" s="12"/>
      <c r="F315" s="11"/>
      <c r="G315" s="12"/>
      <c r="H315" s="3"/>
      <c r="I315" s="11"/>
      <c r="J315" s="15"/>
    </row>
    <row r="316" spans="1:10" x14ac:dyDescent="0.2">
      <c r="A316" s="92"/>
      <c r="B316" s="87"/>
      <c r="C316" s="88"/>
      <c r="D316" s="12"/>
      <c r="E316" s="12"/>
      <c r="F316" s="11"/>
      <c r="G316" s="12"/>
      <c r="H316" s="11"/>
      <c r="I316" s="11"/>
      <c r="J316" s="14"/>
    </row>
    <row r="317" spans="1:10" x14ac:dyDescent="0.2">
      <c r="A317" s="92"/>
      <c r="B317" s="87"/>
      <c r="C317" s="88"/>
      <c r="D317" s="12"/>
      <c r="E317" s="12"/>
      <c r="F317" s="11"/>
      <c r="G317" s="12"/>
      <c r="H317" s="11"/>
      <c r="I317" s="11"/>
      <c r="J317" s="14"/>
    </row>
    <row r="318" spans="1:10" x14ac:dyDescent="0.2">
      <c r="A318" s="92"/>
      <c r="B318" s="87" t="s">
        <v>14</v>
      </c>
      <c r="C318" s="88">
        <f t="shared" ref="C318" si="50">C314+1</f>
        <v>44645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2"/>
      <c r="B319" s="87"/>
      <c r="C319" s="88"/>
      <c r="D319" s="12"/>
      <c r="E319" s="12"/>
      <c r="F319" s="11"/>
      <c r="G319" s="12"/>
      <c r="H319" s="11"/>
      <c r="I319" s="11"/>
      <c r="J319" s="14"/>
    </row>
    <row r="320" spans="1:10" x14ac:dyDescent="0.2">
      <c r="A320" s="92"/>
      <c r="B320" s="87"/>
      <c r="C320" s="88"/>
      <c r="D320" s="12"/>
      <c r="E320" s="12"/>
      <c r="F320" s="11"/>
      <c r="G320" s="12"/>
      <c r="H320" s="11"/>
      <c r="I320" s="11"/>
      <c r="J320" s="14"/>
    </row>
    <row r="321" spans="1:10" x14ac:dyDescent="0.2">
      <c r="A321" s="92"/>
      <c r="B321" s="87"/>
      <c r="C321" s="88"/>
      <c r="D321" s="12"/>
      <c r="E321" s="48"/>
      <c r="F321" s="11"/>
      <c r="G321" s="12"/>
      <c r="H321" s="11"/>
      <c r="I321" s="11"/>
      <c r="J321" s="14"/>
    </row>
    <row r="322" spans="1:10" x14ac:dyDescent="0.2">
      <c r="A322" s="92"/>
      <c r="B322" s="87" t="s">
        <v>27</v>
      </c>
      <c r="C322" s="88">
        <f t="shared" ref="C322" si="51">C318+1</f>
        <v>44646</v>
      </c>
      <c r="D322" s="48"/>
      <c r="E322" s="12"/>
      <c r="F322" s="11"/>
      <c r="G322" s="12"/>
      <c r="H322" s="11"/>
      <c r="I322" s="11"/>
      <c r="J322" s="14"/>
    </row>
    <row r="323" spans="1:10" x14ac:dyDescent="0.2">
      <c r="A323" s="92"/>
      <c r="B323" s="87"/>
      <c r="C323" s="88"/>
      <c r="D323" s="12"/>
      <c r="E323" s="12"/>
      <c r="F323" s="11"/>
      <c r="G323" s="12"/>
      <c r="H323" s="11"/>
      <c r="I323" s="11"/>
      <c r="J323" s="14"/>
    </row>
    <row r="324" spans="1:10" x14ac:dyDescent="0.2">
      <c r="A324" s="92"/>
      <c r="B324" s="87"/>
      <c r="C324" s="88"/>
      <c r="D324" s="12"/>
      <c r="E324" s="12"/>
      <c r="F324" s="11"/>
      <c r="G324" s="12"/>
      <c r="H324" s="11"/>
      <c r="I324" s="11"/>
      <c r="J324" s="14"/>
    </row>
    <row r="325" spans="1:10" x14ac:dyDescent="0.2">
      <c r="A325" s="92"/>
      <c r="B325" s="87"/>
      <c r="C325" s="88"/>
      <c r="D325" s="12"/>
      <c r="F325" s="11"/>
      <c r="G325" s="12"/>
      <c r="H325" s="11"/>
      <c r="I325" s="11"/>
      <c r="J325" s="14"/>
    </row>
    <row r="326" spans="1:10" ht="15.75" thickBot="1" x14ac:dyDescent="0.3">
      <c r="A326" s="89"/>
      <c r="B326" s="85"/>
      <c r="C326" s="90"/>
      <c r="D326" s="60"/>
      <c r="E326" s="60"/>
      <c r="F326" s="16"/>
      <c r="G326" s="60"/>
      <c r="H326" s="16"/>
      <c r="I326" s="16"/>
      <c r="J326" s="17" t="str">
        <f>"Wochenstunden: "&amp; SUM($G302:$G325)</f>
        <v>Wochenstunden: 0</v>
      </c>
    </row>
    <row r="327" spans="1:10" x14ac:dyDescent="0.2">
      <c r="A327" s="91">
        <f>WEEKNUM($C327,2)</f>
        <v>14</v>
      </c>
      <c r="B327" s="86" t="s">
        <v>10</v>
      </c>
      <c r="C327" s="93">
        <f>C322+2</f>
        <v>44648</v>
      </c>
      <c r="D327" s="47"/>
      <c r="E327" s="48"/>
      <c r="F327" s="49"/>
      <c r="G327" s="9"/>
      <c r="H327" s="8"/>
      <c r="I327" s="8"/>
      <c r="J327" s="10"/>
    </row>
    <row r="328" spans="1:10" x14ac:dyDescent="0.2">
      <c r="A328" s="92"/>
      <c r="B328" s="87"/>
      <c r="C328" s="88"/>
      <c r="D328" s="48"/>
      <c r="E328" s="48"/>
      <c r="F328" s="50"/>
      <c r="G328" s="12"/>
      <c r="H328" s="11"/>
      <c r="I328" s="11"/>
      <c r="J328" s="13"/>
    </row>
    <row r="329" spans="1:10" x14ac:dyDescent="0.2">
      <c r="A329" s="92"/>
      <c r="B329" s="87"/>
      <c r="C329" s="88"/>
      <c r="D329" s="48"/>
      <c r="E329" s="48"/>
      <c r="F329" s="50"/>
      <c r="G329" s="12"/>
      <c r="H329" s="11"/>
      <c r="I329" s="11"/>
      <c r="J329" s="14"/>
    </row>
    <row r="330" spans="1:10" x14ac:dyDescent="0.2">
      <c r="A330" s="92"/>
      <c r="B330" s="87"/>
      <c r="C330" s="88"/>
      <c r="D330" s="48"/>
      <c r="E330" s="48"/>
      <c r="F330" s="50"/>
      <c r="G330" s="12"/>
      <c r="H330" s="11"/>
      <c r="I330" s="11"/>
      <c r="J330" s="14"/>
    </row>
    <row r="331" spans="1:10" x14ac:dyDescent="0.2">
      <c r="A331" s="92"/>
      <c r="B331" s="87" t="s">
        <v>11</v>
      </c>
      <c r="C331" s="88">
        <f>C327+1</f>
        <v>44649</v>
      </c>
      <c r="D331" s="48"/>
      <c r="E331" s="48"/>
      <c r="F331" s="50"/>
      <c r="G331" s="12"/>
      <c r="H331" s="11"/>
      <c r="I331" s="11"/>
      <c r="J331" s="15"/>
    </row>
    <row r="332" spans="1:10" x14ac:dyDescent="0.2">
      <c r="A332" s="92"/>
      <c r="B332" s="87"/>
      <c r="C332" s="88"/>
      <c r="D332" s="48"/>
      <c r="E332" s="12"/>
      <c r="F332" s="50"/>
      <c r="G332" s="12"/>
      <c r="H332" s="11"/>
      <c r="I332" s="11"/>
      <c r="J332" s="14"/>
    </row>
    <row r="333" spans="1:10" x14ac:dyDescent="0.2">
      <c r="A333" s="92"/>
      <c r="B333" s="87"/>
      <c r="C333" s="88"/>
      <c r="D333" s="12"/>
      <c r="E333" s="12"/>
      <c r="F333" s="11"/>
      <c r="G333" s="12"/>
      <c r="H333" s="11"/>
      <c r="I333" s="11"/>
      <c r="J333" s="14"/>
    </row>
    <row r="334" spans="1:10" x14ac:dyDescent="0.2">
      <c r="A334" s="92"/>
      <c r="B334" s="87"/>
      <c r="C334" s="88"/>
      <c r="D334" s="12"/>
      <c r="E334" s="48"/>
      <c r="F334" s="11"/>
      <c r="G334" s="12"/>
      <c r="H334" s="11"/>
      <c r="I334" s="11"/>
      <c r="J334" s="14"/>
    </row>
    <row r="335" spans="1:10" x14ac:dyDescent="0.2">
      <c r="A335" s="92"/>
      <c r="B335" s="87" t="s">
        <v>12</v>
      </c>
      <c r="C335" s="88">
        <f t="shared" ref="C335" si="52">C331+1</f>
        <v>44650</v>
      </c>
      <c r="D335" s="48"/>
      <c r="E335" s="12"/>
      <c r="F335" s="11"/>
      <c r="G335" s="12"/>
      <c r="H335" s="11"/>
      <c r="I335" s="11"/>
      <c r="J335" s="15"/>
    </row>
    <row r="336" spans="1:10" x14ac:dyDescent="0.2">
      <c r="A336" s="92"/>
      <c r="B336" s="87"/>
      <c r="C336" s="88"/>
      <c r="D336" s="12"/>
      <c r="E336" s="12"/>
      <c r="F336" s="11"/>
      <c r="G336" s="12"/>
      <c r="H336" s="11"/>
      <c r="I336" s="11"/>
      <c r="J336" s="15"/>
    </row>
    <row r="337" spans="1:10" x14ac:dyDescent="0.2">
      <c r="A337" s="92"/>
      <c r="B337" s="87"/>
      <c r="C337" s="88"/>
      <c r="D337" s="12"/>
      <c r="E337" s="12"/>
      <c r="F337" s="11"/>
      <c r="G337" s="12"/>
      <c r="H337" s="11"/>
      <c r="I337" s="11"/>
      <c r="J337" s="14"/>
    </row>
    <row r="338" spans="1:10" x14ac:dyDescent="0.2">
      <c r="A338" s="92"/>
      <c r="B338" s="87"/>
      <c r="C338" s="88"/>
      <c r="D338" s="12"/>
      <c r="E338" s="48"/>
      <c r="F338" s="11"/>
      <c r="G338" s="12"/>
      <c r="H338" s="11"/>
      <c r="I338" s="11"/>
      <c r="J338" s="14"/>
    </row>
    <row r="339" spans="1:10" x14ac:dyDescent="0.2">
      <c r="A339" s="92"/>
      <c r="B339" s="87" t="s">
        <v>13</v>
      </c>
      <c r="C339" s="88">
        <f t="shared" ref="C339" si="53">C335+1</f>
        <v>44651</v>
      </c>
      <c r="D339" s="48"/>
      <c r="E339" s="12"/>
      <c r="F339" s="11"/>
      <c r="G339" s="12"/>
      <c r="H339" s="11"/>
      <c r="I339" s="11"/>
      <c r="J339" s="14"/>
    </row>
    <row r="340" spans="1:10" x14ac:dyDescent="0.2">
      <c r="A340" s="92"/>
      <c r="B340" s="87"/>
      <c r="C340" s="88"/>
      <c r="D340" s="12"/>
      <c r="E340" s="12"/>
      <c r="F340" s="11"/>
      <c r="G340" s="12"/>
      <c r="H340" s="3"/>
      <c r="I340" s="11"/>
      <c r="J340" s="15"/>
    </row>
    <row r="341" spans="1:10" x14ac:dyDescent="0.2">
      <c r="A341" s="92"/>
      <c r="B341" s="87"/>
      <c r="C341" s="88"/>
      <c r="D341" s="12"/>
      <c r="E341" s="12"/>
      <c r="F341" s="11"/>
      <c r="G341" s="12"/>
      <c r="H341" s="11"/>
      <c r="I341" s="11"/>
      <c r="J341" s="14"/>
    </row>
    <row r="342" spans="1:10" x14ac:dyDescent="0.2">
      <c r="A342" s="92"/>
      <c r="B342" s="87"/>
      <c r="C342" s="88"/>
      <c r="D342" s="12"/>
      <c r="E342" s="12"/>
      <c r="F342" s="11"/>
      <c r="G342" s="12"/>
      <c r="H342" s="11"/>
      <c r="I342" s="11"/>
      <c r="J342" s="14"/>
    </row>
    <row r="343" spans="1:10" x14ac:dyDescent="0.2">
      <c r="A343" s="92"/>
      <c r="B343" s="87" t="s">
        <v>14</v>
      </c>
      <c r="C343" s="88">
        <f t="shared" ref="C343" si="54">C339+1</f>
        <v>44652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2"/>
      <c r="B344" s="87"/>
      <c r="C344" s="88"/>
      <c r="D344" s="12"/>
      <c r="E344" s="12"/>
      <c r="F344" s="11"/>
      <c r="G344" s="12"/>
      <c r="H344" s="11"/>
      <c r="I344" s="11"/>
      <c r="J344" s="14"/>
    </row>
    <row r="345" spans="1:10" x14ac:dyDescent="0.2">
      <c r="A345" s="92"/>
      <c r="B345" s="87"/>
      <c r="C345" s="88"/>
      <c r="D345" s="12"/>
      <c r="E345" s="12"/>
      <c r="F345" s="11"/>
      <c r="G345" s="12"/>
      <c r="H345" s="11"/>
      <c r="I345" s="11"/>
      <c r="J345" s="14"/>
    </row>
    <row r="346" spans="1:10" x14ac:dyDescent="0.2">
      <c r="A346" s="92"/>
      <c r="B346" s="87"/>
      <c r="C346" s="88"/>
      <c r="D346" s="12"/>
      <c r="E346" s="48"/>
      <c r="F346" s="11"/>
      <c r="G346" s="12"/>
      <c r="H346" s="11"/>
      <c r="I346" s="11"/>
      <c r="J346" s="14"/>
    </row>
    <row r="347" spans="1:10" x14ac:dyDescent="0.2">
      <c r="A347" s="92"/>
      <c r="B347" s="87" t="s">
        <v>27</v>
      </c>
      <c r="C347" s="88">
        <f t="shared" ref="C347" si="55">C343+1</f>
        <v>44653</v>
      </c>
      <c r="D347" s="48"/>
      <c r="E347" s="12"/>
      <c r="F347" s="11"/>
      <c r="G347" s="12"/>
      <c r="H347" s="11"/>
      <c r="I347" s="11"/>
      <c r="J347" s="14"/>
    </row>
    <row r="348" spans="1:10" x14ac:dyDescent="0.2">
      <c r="A348" s="92"/>
      <c r="B348" s="87"/>
      <c r="C348" s="88"/>
      <c r="D348" s="12"/>
      <c r="E348" s="12"/>
      <c r="F348" s="11"/>
      <c r="G348" s="12"/>
      <c r="H348" s="11"/>
      <c r="I348" s="11"/>
      <c r="J348" s="14"/>
    </row>
    <row r="349" spans="1:10" x14ac:dyDescent="0.2">
      <c r="A349" s="92"/>
      <c r="B349" s="87"/>
      <c r="C349" s="88"/>
      <c r="D349" s="12"/>
      <c r="E349" s="12"/>
      <c r="F349" s="11"/>
      <c r="G349" s="12"/>
      <c r="H349" s="11"/>
      <c r="I349" s="11"/>
      <c r="J349" s="14"/>
    </row>
    <row r="350" spans="1:10" x14ac:dyDescent="0.2">
      <c r="A350" s="92"/>
      <c r="B350" s="87"/>
      <c r="C350" s="88"/>
      <c r="D350" s="12"/>
      <c r="F350" s="11"/>
      <c r="G350" s="12"/>
      <c r="H350" s="11"/>
      <c r="I350" s="11"/>
      <c r="J350" s="14"/>
    </row>
    <row r="351" spans="1:10" ht="15.75" thickBot="1" x14ac:dyDescent="0.3">
      <c r="A351" s="89"/>
      <c r="B351" s="85"/>
      <c r="C351" s="90"/>
      <c r="D351" s="60"/>
      <c r="E351" s="60"/>
      <c r="F351" s="16"/>
      <c r="G351" s="60"/>
      <c r="H351" s="16"/>
      <c r="I351" s="16"/>
      <c r="J351" s="17" t="str">
        <f>"Wochenstunden: "&amp; SUM($G327:$G350)</f>
        <v>Wochenstunden: 0</v>
      </c>
    </row>
    <row r="352" spans="1:10" x14ac:dyDescent="0.2">
      <c r="A352" s="91">
        <f>WEEKNUM($C352,2)</f>
        <v>15</v>
      </c>
      <c r="B352" s="86" t="s">
        <v>10</v>
      </c>
      <c r="C352" s="93">
        <f>C347+2</f>
        <v>44655</v>
      </c>
      <c r="D352" s="47"/>
      <c r="E352" s="48"/>
      <c r="F352" s="49"/>
      <c r="G352" s="9"/>
      <c r="H352" s="8"/>
      <c r="I352" s="8"/>
      <c r="J352" s="10"/>
    </row>
    <row r="353" spans="1:10" x14ac:dyDescent="0.2">
      <c r="A353" s="92"/>
      <c r="B353" s="87"/>
      <c r="C353" s="88"/>
      <c r="D353" s="48"/>
      <c r="E353" s="48"/>
      <c r="F353" s="50"/>
      <c r="G353" s="12"/>
      <c r="H353" s="11"/>
      <c r="I353" s="11"/>
      <c r="J353" s="13"/>
    </row>
    <row r="354" spans="1:10" x14ac:dyDescent="0.2">
      <c r="A354" s="92"/>
      <c r="B354" s="87"/>
      <c r="C354" s="88"/>
      <c r="D354" s="48"/>
      <c r="E354" s="48"/>
      <c r="F354" s="50"/>
      <c r="G354" s="12"/>
      <c r="H354" s="11"/>
      <c r="I354" s="11"/>
      <c r="J354" s="14"/>
    </row>
    <row r="355" spans="1:10" x14ac:dyDescent="0.2">
      <c r="A355" s="92"/>
      <c r="B355" s="87"/>
      <c r="C355" s="88"/>
      <c r="D355" s="48"/>
      <c r="E355" s="48"/>
      <c r="F355" s="50"/>
      <c r="G355" s="12"/>
      <c r="H355" s="11"/>
      <c r="I355" s="11"/>
      <c r="J355" s="14"/>
    </row>
    <row r="356" spans="1:10" x14ac:dyDescent="0.2">
      <c r="A356" s="92"/>
      <c r="B356" s="87" t="s">
        <v>11</v>
      </c>
      <c r="C356" s="88">
        <f>C352+1</f>
        <v>44656</v>
      </c>
      <c r="D356" s="48"/>
      <c r="E356" s="48"/>
      <c r="F356" s="50"/>
      <c r="G356" s="12"/>
      <c r="H356" s="11"/>
      <c r="I356" s="11"/>
      <c r="J356" s="15"/>
    </row>
    <row r="357" spans="1:10" x14ac:dyDescent="0.2">
      <c r="A357" s="92"/>
      <c r="B357" s="87"/>
      <c r="C357" s="88"/>
      <c r="D357" s="48"/>
      <c r="E357" s="12"/>
      <c r="F357" s="50"/>
      <c r="G357" s="12"/>
      <c r="H357" s="11"/>
      <c r="I357" s="11"/>
      <c r="J357" s="14"/>
    </row>
    <row r="358" spans="1:10" x14ac:dyDescent="0.2">
      <c r="A358" s="92"/>
      <c r="B358" s="87"/>
      <c r="C358" s="88"/>
      <c r="D358" s="12"/>
      <c r="E358" s="12"/>
      <c r="F358" s="11"/>
      <c r="G358" s="12"/>
      <c r="H358" s="11"/>
      <c r="I358" s="11"/>
      <c r="J358" s="14"/>
    </row>
    <row r="359" spans="1:10" x14ac:dyDescent="0.2">
      <c r="A359" s="92"/>
      <c r="B359" s="87"/>
      <c r="C359" s="88"/>
      <c r="D359" s="12"/>
      <c r="E359" s="48"/>
      <c r="F359" s="11"/>
      <c r="G359" s="12"/>
      <c r="H359" s="11"/>
      <c r="I359" s="11"/>
      <c r="J359" s="14"/>
    </row>
    <row r="360" spans="1:10" x14ac:dyDescent="0.2">
      <c r="A360" s="92"/>
      <c r="B360" s="87" t="s">
        <v>12</v>
      </c>
      <c r="C360" s="88">
        <f t="shared" ref="C360" si="56">C356+1</f>
        <v>44657</v>
      </c>
      <c r="D360" s="48"/>
      <c r="E360" s="12"/>
      <c r="F360" s="11"/>
      <c r="G360" s="12"/>
      <c r="H360" s="11"/>
      <c r="I360" s="11"/>
      <c r="J360" s="15"/>
    </row>
    <row r="361" spans="1:10" x14ac:dyDescent="0.2">
      <c r="A361" s="92"/>
      <c r="B361" s="87"/>
      <c r="C361" s="88"/>
      <c r="D361" s="12"/>
      <c r="E361" s="12"/>
      <c r="F361" s="11"/>
      <c r="G361" s="12"/>
      <c r="H361" s="11"/>
      <c r="I361" s="11"/>
      <c r="J361" s="15"/>
    </row>
    <row r="362" spans="1:10" x14ac:dyDescent="0.2">
      <c r="A362" s="92"/>
      <c r="B362" s="87"/>
      <c r="C362" s="88"/>
      <c r="D362" s="12"/>
      <c r="E362" s="12"/>
      <c r="F362" s="11"/>
      <c r="G362" s="12"/>
      <c r="H362" s="11"/>
      <c r="I362" s="11"/>
      <c r="J362" s="14"/>
    </row>
    <row r="363" spans="1:10" x14ac:dyDescent="0.2">
      <c r="A363" s="92"/>
      <c r="B363" s="87"/>
      <c r="C363" s="88"/>
      <c r="D363" s="12"/>
      <c r="E363" s="48"/>
      <c r="F363" s="11"/>
      <c r="G363" s="12"/>
      <c r="H363" s="11"/>
      <c r="I363" s="11"/>
      <c r="J363" s="14"/>
    </row>
    <row r="364" spans="1:10" x14ac:dyDescent="0.2">
      <c r="A364" s="92"/>
      <c r="B364" s="87" t="s">
        <v>13</v>
      </c>
      <c r="C364" s="88">
        <f t="shared" ref="C364" si="57">C360+1</f>
        <v>44658</v>
      </c>
      <c r="D364" s="48"/>
      <c r="E364" s="12"/>
      <c r="F364" s="11"/>
      <c r="G364" s="12"/>
      <c r="H364" s="11"/>
      <c r="I364" s="11"/>
      <c r="J364" s="14"/>
    </row>
    <row r="365" spans="1:10" x14ac:dyDescent="0.2">
      <c r="A365" s="92"/>
      <c r="B365" s="87"/>
      <c r="C365" s="88"/>
      <c r="D365" s="12"/>
      <c r="E365" s="12"/>
      <c r="F365" s="11"/>
      <c r="G365" s="12"/>
      <c r="H365" s="3"/>
      <c r="I365" s="11"/>
      <c r="J365" s="15"/>
    </row>
    <row r="366" spans="1:10" x14ac:dyDescent="0.2">
      <c r="A366" s="92"/>
      <c r="B366" s="87"/>
      <c r="C366" s="88"/>
      <c r="D366" s="12"/>
      <c r="E366" s="12"/>
      <c r="F366" s="11"/>
      <c r="G366" s="12"/>
      <c r="H366" s="11"/>
      <c r="I366" s="11"/>
      <c r="J366" s="14"/>
    </row>
    <row r="367" spans="1:10" x14ac:dyDescent="0.2">
      <c r="A367" s="92"/>
      <c r="B367" s="87"/>
      <c r="C367" s="88"/>
      <c r="D367" s="12"/>
      <c r="E367" s="12"/>
      <c r="F367" s="11"/>
      <c r="G367" s="12"/>
      <c r="H367" s="11"/>
      <c r="I367" s="11"/>
      <c r="J367" s="14"/>
    </row>
    <row r="368" spans="1:10" x14ac:dyDescent="0.2">
      <c r="A368" s="92"/>
      <c r="B368" s="87" t="s">
        <v>14</v>
      </c>
      <c r="C368" s="88">
        <f t="shared" ref="C368" si="58">C364+1</f>
        <v>44659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2"/>
      <c r="B369" s="87"/>
      <c r="C369" s="88"/>
      <c r="D369" s="12"/>
      <c r="E369" s="12"/>
      <c r="F369" s="11"/>
      <c r="G369" s="12"/>
      <c r="H369" s="11"/>
      <c r="I369" s="11"/>
      <c r="J369" s="14"/>
    </row>
    <row r="370" spans="1:10" x14ac:dyDescent="0.2">
      <c r="A370" s="92"/>
      <c r="B370" s="87"/>
      <c r="C370" s="88"/>
      <c r="D370" s="12"/>
      <c r="E370" s="12"/>
      <c r="F370" s="11"/>
      <c r="G370" s="12"/>
      <c r="H370" s="11"/>
      <c r="I370" s="11"/>
      <c r="J370" s="14"/>
    </row>
    <row r="371" spans="1:10" x14ac:dyDescent="0.2">
      <c r="A371" s="92"/>
      <c r="B371" s="87"/>
      <c r="C371" s="88"/>
      <c r="D371" s="12"/>
      <c r="E371" s="48"/>
      <c r="F371" s="11"/>
      <c r="G371" s="12"/>
      <c r="H371" s="11"/>
      <c r="I371" s="11"/>
      <c r="J371" s="14"/>
    </row>
    <row r="372" spans="1:10" x14ac:dyDescent="0.2">
      <c r="A372" s="92"/>
      <c r="B372" s="87" t="s">
        <v>27</v>
      </c>
      <c r="C372" s="88">
        <f t="shared" ref="C372" si="59">C368+1</f>
        <v>44660</v>
      </c>
      <c r="D372" s="48"/>
      <c r="E372" s="12"/>
      <c r="F372" s="11"/>
      <c r="G372" s="12"/>
      <c r="H372" s="11"/>
      <c r="I372" s="11"/>
      <c r="J372" s="14"/>
    </row>
    <row r="373" spans="1:10" x14ac:dyDescent="0.2">
      <c r="A373" s="92"/>
      <c r="B373" s="87"/>
      <c r="C373" s="88"/>
      <c r="D373" s="12"/>
      <c r="E373" s="12"/>
      <c r="F373" s="11"/>
      <c r="G373" s="12"/>
      <c r="H373" s="11"/>
      <c r="I373" s="11"/>
      <c r="J373" s="14"/>
    </row>
    <row r="374" spans="1:10" x14ac:dyDescent="0.2">
      <c r="A374" s="92"/>
      <c r="B374" s="87"/>
      <c r="C374" s="88"/>
      <c r="D374" s="12"/>
      <c r="E374" s="12"/>
      <c r="F374" s="11"/>
      <c r="G374" s="12"/>
      <c r="H374" s="11"/>
      <c r="I374" s="11"/>
      <c r="J374" s="14"/>
    </row>
    <row r="375" spans="1:10" x14ac:dyDescent="0.2">
      <c r="A375" s="92"/>
      <c r="B375" s="87"/>
      <c r="C375" s="88"/>
      <c r="D375" s="12"/>
      <c r="F375" s="11"/>
      <c r="G375" s="12"/>
      <c r="H375" s="11"/>
      <c r="I375" s="11"/>
      <c r="J375" s="14"/>
    </row>
    <row r="376" spans="1:10" ht="15.75" thickBot="1" x14ac:dyDescent="0.3">
      <c r="A376" s="89"/>
      <c r="B376" s="85"/>
      <c r="C376" s="90"/>
      <c r="D376" s="60"/>
      <c r="E376" s="60"/>
      <c r="F376" s="16"/>
      <c r="G376" s="60"/>
      <c r="H376" s="16"/>
      <c r="I376" s="16"/>
      <c r="J376" s="17" t="str">
        <f>"Wochenstunden: "&amp; SUM($G352:$G375)</f>
        <v>Wochenstunden: 0</v>
      </c>
    </row>
  </sheetData>
  <mergeCells count="210">
    <mergeCell ref="B368:B371"/>
    <mergeCell ref="C368:C371"/>
    <mergeCell ref="B372:B375"/>
    <mergeCell ref="C372:C375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39:B342"/>
    <mergeCell ref="C339:C342"/>
    <mergeCell ref="B343:B346"/>
    <mergeCell ref="C343:C346"/>
    <mergeCell ref="B347:B350"/>
    <mergeCell ref="C347:C350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10:B313"/>
    <mergeCell ref="C310:C313"/>
    <mergeCell ref="B314:B317"/>
    <mergeCell ref="C314:C317"/>
    <mergeCell ref="B318:B321"/>
    <mergeCell ref="C318:C321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64:B267"/>
    <mergeCell ref="C264:C267"/>
    <mergeCell ref="B268:B271"/>
    <mergeCell ref="C268:C271"/>
    <mergeCell ref="B272:B275"/>
    <mergeCell ref="C272:C275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35:B238"/>
    <mergeCell ref="C235:C238"/>
    <mergeCell ref="B239:B242"/>
    <mergeCell ref="C239:C242"/>
    <mergeCell ref="B243:B246"/>
    <mergeCell ref="C243:C246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189:B192"/>
    <mergeCell ref="C189:C192"/>
    <mergeCell ref="B193:B196"/>
    <mergeCell ref="C193:C196"/>
    <mergeCell ref="B197:B200"/>
    <mergeCell ref="C197:C200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60:B163"/>
    <mergeCell ref="C160:C163"/>
    <mergeCell ref="B164:B167"/>
    <mergeCell ref="C164:C167"/>
    <mergeCell ref="B168:B171"/>
    <mergeCell ref="C168:C171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14:B117"/>
    <mergeCell ref="C114:C117"/>
    <mergeCell ref="B118:B121"/>
    <mergeCell ref="C118:C121"/>
    <mergeCell ref="B122:B125"/>
    <mergeCell ref="C122:C125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85:B88"/>
    <mergeCell ref="C85:C88"/>
    <mergeCell ref="B89:B92"/>
    <mergeCell ref="C89:C92"/>
    <mergeCell ref="B93:B96"/>
    <mergeCell ref="C93:C96"/>
    <mergeCell ref="B68:B71"/>
    <mergeCell ref="C68:C71"/>
    <mergeCell ref="B72:B75"/>
    <mergeCell ref="C72:C75"/>
    <mergeCell ref="A76:C76"/>
    <mergeCell ref="A77:A100"/>
    <mergeCell ref="B77:B80"/>
    <mergeCell ref="C77:C80"/>
    <mergeCell ref="B81:B84"/>
    <mergeCell ref="C81:C84"/>
    <mergeCell ref="A52:A75"/>
    <mergeCell ref="B52:B55"/>
    <mergeCell ref="C52:C55"/>
    <mergeCell ref="B56:B59"/>
    <mergeCell ref="B22:B25"/>
    <mergeCell ref="C22:C25"/>
    <mergeCell ref="A26:C26"/>
    <mergeCell ref="A27:A50"/>
    <mergeCell ref="B27:B30"/>
    <mergeCell ref="C27:C30"/>
    <mergeCell ref="B31:B34"/>
    <mergeCell ref="C31:C34"/>
    <mergeCell ref="B35:B38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18:B21"/>
    <mergeCell ref="B47:B50"/>
    <mergeCell ref="C47:C50"/>
    <mergeCell ref="C18:C21"/>
    <mergeCell ref="C35:C38"/>
    <mergeCell ref="B39:B42"/>
    <mergeCell ref="C39:C42"/>
    <mergeCell ref="B43:B46"/>
    <mergeCell ref="C43:C46"/>
    <mergeCell ref="C56:C59"/>
    <mergeCell ref="B60:B63"/>
    <mergeCell ref="C60:C63"/>
    <mergeCell ref="B64:B67"/>
    <mergeCell ref="C64:C67"/>
    <mergeCell ref="A51:C51"/>
  </mergeCells>
  <dataValidations count="13">
    <dataValidation type="list" allowBlank="1" showInputMessage="1" showErrorMessage="1" sqref="F7" xr:uid="{00000000-0002-0000-0300-000000000000}">
      <formula1>"Milestone 3; task  2, Milestone 3; task 3, Milestone 4; task 4, "</formula1>
    </dataValidation>
    <dataValidation type="list" allowBlank="1" showInputMessage="1" showErrorMessage="1" sqref="F2 F15 F20 F38" xr:uid="{00000000-0002-0000-0300-000001000000}">
      <formula1>"milestone 1; task 1, milestone 2; task 5, "</formula1>
    </dataValidation>
    <dataValidation type="list" allowBlank="1" showInputMessage="1" showErrorMessage="1" sqref="F17 F34" xr:uid="{00000000-0002-0000-0300-000003000000}">
      <formula1>"M1; Aufg1, M1; Aufg2, M2; Aufg3, "</formula1>
    </dataValidation>
    <dataValidation type="list" allowBlank="1" showInputMessage="1" showErrorMessage="1" sqref="F19 F361" xr:uid="{00000000-0002-0000-0300-000004000000}">
      <formula1>"Front; saugen, Heck; wischen, "</formula1>
    </dataValidation>
    <dataValidation type="list" allowBlank="1" showInputMessage="1" showErrorMessage="1" sqref="F41" xr:uid="{00000000-0002-0000-0300-000005000000}">
      <formula1>"M1; Aufgabe1, M1; Aufgabe2, M2; Aufgabe3, "</formula1>
    </dataValidation>
    <dataValidation type="list" allowBlank="1" showInputMessage="1" showErrorMessage="1" sqref="F18 F10" xr:uid="{00000000-0002-0000-03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12 F6" xr:uid="{00000000-0002-0000-0300-000007000000}">
      <formula1>"Front; saugen, , Heck; wischen, , "</formula1>
    </dataValidation>
    <dataValidation type="list" allowBlank="1" showInputMessage="1" showErrorMessage="1" sqref="F13" xr:uid="{00000000-0002-0000-0300-000008000000}">
      <formula1>"Layout, Listen ( Müll, Feiertage), , Layout, , Layout, , ToDo, , Projektbezeichnung autom., , "</formula1>
    </dataValidation>
    <dataValidation type="list" allowBlank="1" showInputMessage="1" showErrorMessage="1" sqref="F16" xr:uid="{00000000-0002-0000-0300-000009000000}">
      <formula1>"Layout, , Layout, , Projektplanung, Projektbezeichnung autom., , "</formula1>
    </dataValidation>
    <dataValidation type="list" allowBlank="1" showInputMessage="1" showErrorMessage="1" sqref="F31:F32" xr:uid="{00000000-0002-0000-0300-00000A000000}">
      <formula1>Projekt_1</formula1>
    </dataValidation>
    <dataValidation type="list" allowBlank="1" showInputMessage="1" showErrorMessage="1" sqref="F33 F27 F52 F77 F102 F127 F152 F177 F202 F227 F252 F277 F302 F327 F352" xr:uid="{00000000-0002-0000-0300-00000B000000}">
      <formula1>Aufgaben</formula1>
    </dataValidation>
    <dataValidation type="list" allowBlank="1" sqref="F328:F351 F53:F76 F28:F30 F42:F51 F362:F376 F11 F14 F8:F9 F303:F326 F21:F26 F78:F101 F103:F126 F128:F151 F153:F176 F178:F201 F203:F226 F228:F251 F253:F276 F278:F301 F353:F360 F35:F37 F39:F40" xr:uid="{00000000-0002-0000-0300-00000C000000}">
      <formula1>Aufgaben</formula1>
    </dataValidation>
    <dataValidation type="list" allowBlank="1" showInputMessage="1" showErrorMessage="1" sqref="D2:D376" xr:uid="{EF1F64CC-555F-4B0C-A694-C57EB608B1FD}">
      <formula1>", Unit, Shooting Calculations, UI"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Projektplan</vt:lpstr>
      <vt:lpstr>Steuertabelle</vt:lpstr>
      <vt:lpstr>Wochenplan 2021</vt:lpstr>
      <vt:lpstr>Wochenplan 2022</vt:lpstr>
      <vt:lpstr>Projektplan!Drucktitel</vt:lpstr>
    </vt:vector>
  </TitlesOfParts>
  <Company>CLAAS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Fehler, Matthias</dc:creator>
  <cp:lastModifiedBy>User</cp:lastModifiedBy>
  <cp:lastPrinted>2021-06-03T12:43:00Z</cp:lastPrinted>
  <dcterms:created xsi:type="dcterms:W3CDTF">2019-08-02T18:04:38Z</dcterms:created>
  <dcterms:modified xsi:type="dcterms:W3CDTF">2022-04-12T08:24:10Z</dcterms:modified>
</cp:coreProperties>
</file>